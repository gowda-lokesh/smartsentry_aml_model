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"/>
    </mc:Choice>
  </mc:AlternateContent>
  <xr:revisionPtr revIDLastSave="17" documentId="13_ncr:1_{D1C74165-A2F8-4269-86D0-126BC9A44AD6}" xr6:coauthVersionLast="47" xr6:coauthVersionMax="47" xr10:uidLastSave="{455AF32B-E2CF-4507-8950-E4D6B5AD88C3}"/>
  <bookViews>
    <workbookView xWindow="-108" yWindow="-108" windowWidth="23256" windowHeight="13896" tabRatio="500" activeTab="1" xr2:uid="{00000000-000D-0000-FFFF-FFFF00000000}"/>
  </bookViews>
  <sheets>
    <sheet name="📋 Feature Index" sheetId="1" r:id="rId1"/>
    <sheet name="💰 Running Balance" sheetId="2" r:id="rId2"/>
    <sheet name="🌐 IP Graph Layer" sheetId="3" r:id="rId3"/>
    <sheet name="🔗 Flow Tracing" sheetId="4" r:id="rId4"/>
    <sheet name="🔥 Fraud Intensity Score" sheetId="5" r:id="rId5"/>
    <sheet name="🔗 Shared Ident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2" l="1"/>
  <c r="G7" i="2"/>
  <c r="G6" i="2"/>
  <c r="G5" i="2"/>
  <c r="G4" i="2"/>
</calcChain>
</file>

<file path=xl/sharedStrings.xml><?xml version="1.0" encoding="utf-8"?>
<sst xmlns="http://schemas.openxmlformats.org/spreadsheetml/2006/main" count="538" uniqueCount="393">
  <si>
    <t>SmartSentry AML — New Feature Calculations Reference</t>
  </si>
  <si>
    <t>17 new features across 4 groups | NB1 = 01_customer_generator | NB2 = 02_transaction_generator</t>
  </si>
  <si>
    <t>Feature</t>
  </si>
  <si>
    <t>Group</t>
  </si>
  <si>
    <t>Notebook</t>
  </si>
  <si>
    <t>Cell Added</t>
  </si>
  <si>
    <t>Data Type</t>
  </si>
  <si>
    <t>Range / Values</t>
  </si>
  <si>
    <t>Purpose</t>
  </si>
  <si>
    <t>shared_kyc_id</t>
  </si>
  <si>
    <t>Relationship Graph</t>
  </si>
  <si>
    <t>NB1</t>
  </si>
  <si>
    <t>Cell 4</t>
  </si>
  <si>
    <t>string / NULL</t>
  </si>
  <si>
    <t>KYC_00001…NULL</t>
  </si>
  <si>
    <t>Same KYC doc across customers → synthetic identity / mule ring</t>
  </si>
  <si>
    <t>shared_phone_hash</t>
  </si>
  <si>
    <t>PHONE_00001…NULL</t>
  </si>
  <si>
    <t>Same phone number across accounts → mule recruitment signal</t>
  </si>
  <si>
    <t>shared_email_hash</t>
  </si>
  <si>
    <t>EMAIL_00001…NULL</t>
  </si>
  <si>
    <t>Same email across customers → identity farm signal</t>
  </si>
  <si>
    <t>ip_address</t>
  </si>
  <si>
    <t>IP Graph Layer</t>
  </si>
  <si>
    <t>NB2</t>
  </si>
  <si>
    <t>Cell 8b</t>
  </si>
  <si>
    <t>string (IPv4)</t>
  </si>
  <si>
    <t>10.x.x.x / global</t>
  </si>
  <si>
    <t>Per-transaction IP: 70% home, 20% roam, 10% high-risk proxy</t>
  </si>
  <si>
    <t>ip_risk_score</t>
  </si>
  <si>
    <t>float</t>
  </si>
  <si>
    <t>0.00 – 1.00</t>
  </si>
  <si>
    <t>Composite IP risk: base score + device + behavioural modifiers</t>
  </si>
  <si>
    <t>geo_lat</t>
  </si>
  <si>
    <t>-60 – 70°</t>
  </si>
  <si>
    <t>Latitude of transaction origin; jittered for home, random for risk</t>
  </si>
  <si>
    <t>geo_lon</t>
  </si>
  <si>
    <t>-180 – 180°</t>
  </si>
  <si>
    <t>Longitude of transaction origin</t>
  </si>
  <si>
    <t>synthetic_flow_id</t>
  </si>
  <si>
    <t>Flow Tracing</t>
  </si>
  <si>
    <t>Cell 6</t>
  </si>
  <si>
    <t>FLOW_00001…NULL</t>
  </si>
  <si>
    <t>Chain/ring identifier assigned at fraud injection time</t>
  </si>
  <si>
    <t>flow_depth</t>
  </si>
  <si>
    <t>integer / NULL</t>
  </si>
  <si>
    <t>2–10 / NULL</t>
  </si>
  <si>
    <t>Total hops in the flow this transaction belongs to</t>
  </si>
  <si>
    <t>hop_number</t>
  </si>
  <si>
    <t>1–N / NULL</t>
  </si>
  <si>
    <t>Position of transaction in its flow (1 = origin)</t>
  </si>
  <si>
    <t>time_since_origin_txn</t>
  </si>
  <si>
    <t>Cell 11b</t>
  </si>
  <si>
    <t>float (seconds) / NULL</t>
  </si>
  <si>
    <t>0 – 86400 / NULL</t>
  </si>
  <si>
    <t>Seconds elapsed from flow origin to this hop</t>
  </si>
  <si>
    <t>balance_before_txn</t>
  </si>
  <si>
    <t>Running Balance</t>
  </si>
  <si>
    <t>float (INR)</t>
  </si>
  <si>
    <t>≥ 0</t>
  </si>
  <si>
    <t>Account balance immediately before this transaction</t>
  </si>
  <si>
    <t>balance_after_txn</t>
  </si>
  <si>
    <t>Account balance after this transaction (clamped at 0)</t>
  </si>
  <si>
    <t>current_balance</t>
  </si>
  <si>
    <t>Alias for balance_after_txn; current post-transaction balance</t>
  </si>
  <si>
    <t>running_balance_txn_amount</t>
  </si>
  <si>
    <t>negative (debit) / positive (credit)</t>
  </si>
  <si>
    <t>Signed amount applied to balance by this transaction</t>
  </si>
  <si>
    <t>cumulative_daily_balance_change</t>
  </si>
  <si>
    <t>any</t>
  </si>
  <si>
    <t>Sum of signed amounts for this account today, up to this row</t>
  </si>
  <si>
    <t>fraud_intensity_score</t>
  </si>
  <si>
    <t>Fraud Intensity</t>
  </si>
  <si>
    <t>0.00 – 100.00</t>
  </si>
  <si>
    <t>Weighted composite risk: rule score + label + balance drain</t>
  </si>
  <si>
    <t>Running Balance Features — Calculation Detail</t>
  </si>
  <si>
    <t>Per-account, chronologically sorted. Balance carries forward from each row to the next.</t>
  </si>
  <si>
    <t>account_id</t>
  </si>
  <si>
    <t>timestamp</t>
  </si>
  <si>
    <t>amount (INR)</t>
  </si>
  <si>
    <t>debit_credit</t>
  </si>
  <si>
    <t>balance_after_txn / current_balance</t>
  </si>
  <si>
    <t>A123</t>
  </si>
  <si>
    <t>2025-09-01 09:14</t>
  </si>
  <si>
    <t>₹12,000</t>
  </si>
  <si>
    <t>debit</t>
  </si>
  <si>
    <t>−₹12,000</t>
  </si>
  <si>
    <t>₹10,026</t>
  </si>
  <si>
    <t>−₹12,000 (day resets)</t>
  </si>
  <si>
    <t>2025-09-01 14:32</t>
  </si>
  <si>
    <t>₹3,500</t>
  </si>
  <si>
    <t>credit</t>
  </si>
  <si>
    <t>₹10,026 (prior balance_after)</t>
  </si>
  <si>
    <t xml:space="preserve">  +₹3,500</t>
  </si>
  <si>
    <t>₹13,526</t>
  </si>
  <si>
    <t>−₹8,500 (prev −12k + 3.5k)</t>
  </si>
  <si>
    <t>2025-09-01 21:05</t>
  </si>
  <si>
    <t>₹8,000</t>
  </si>
  <si>
    <t>−₹8,000</t>
  </si>
  <si>
    <t>₹5,526</t>
  </si>
  <si>
    <t>−₹16,500 (prev −8.5k − 8k)</t>
  </si>
  <si>
    <t>2025-09-02 10:00</t>
  </si>
  <si>
    <t>₹25,000</t>
  </si>
  <si>
    <t>−₹25,000</t>
  </si>
  <si>
    <t>₹0 (clamped)</t>
  </si>
  <si>
    <t>−₹25,000 (NEW DAY resets)</t>
  </si>
  <si>
    <t>A456</t>
  </si>
  <si>
    <t>2025-09-01 11:22</t>
  </si>
  <si>
    <t>₹5,000</t>
  </si>
  <si>
    <t>₹45,100 (avg_balance — 1st txn)</t>
  </si>
  <si>
    <t xml:space="preserve">  +₹5,000</t>
  </si>
  <si>
    <t>₹50,100</t>
  </si>
  <si>
    <t>Pseudocode / Formulas</t>
  </si>
  <si>
    <t>signed_amount</t>
  </si>
  <si>
    <t>avg_balance  [1st txn for account]
balance_after_txn[i−1]  [subsequent txns]</t>
  </si>
  <si>
    <t>Direction of cash flow from sender's perspective</t>
  </si>
  <si>
    <t>max(0,  balance_before_txn + signed_amount)</t>
  </si>
  <si>
    <t>Carries forward the prior row's ending balance</t>
  </si>
  <si>
    <t>balance_after_txn  (alias, same value)</t>
  </si>
  <si>
    <t>Clamped at 0 — accounts cannot go negative in simulation</t>
  </si>
  <si>
    <t>signed_amount  (negative for debits, positive for credits)</t>
  </si>
  <si>
    <t>Alias. Cleaner name for ML feature engineering</t>
  </si>
  <si>
    <t>SUM(signed_amount) for same account + same calendar date, up to this row. Resets at day boundary.</t>
  </si>
  <si>
    <t>The directional change applied to balance by THIS single transaction</t>
  </si>
  <si>
    <t>avg_balance  [1st txn]
balance_after_txn[i−1]  [subsequent]</t>
  </si>
  <si>
    <t>Detects intraday net cash drain or injection patterns</t>
  </si>
  <si>
    <t>IP Graph Layer — Calculation Detail</t>
  </si>
  <si>
    <t>1. IP Type Assignment (per transaction)</t>
  </si>
  <si>
    <t>IP Type</t>
  </si>
  <si>
    <t>Probability</t>
  </si>
  <si>
    <t>Address Format</t>
  </si>
  <si>
    <t>Override Condition</t>
  </si>
  <si>
    <t>Geo Behaviour</t>
  </si>
  <si>
    <t>Risk Base</t>
  </si>
  <si>
    <t>home_ip</t>
  </si>
  <si>
    <t>70% (IP_HOME_FRAC)</t>
  </si>
  <si>
    <t>10.{cid_hash&gt;&gt;8}.{cid_hash&amp;FF}.{aid_hash&amp;FF}</t>
  </si>
  <si>
    <t>—</t>
  </si>
  <si>
    <t>home_lat ± N(0, 0.05°)</t>
  </si>
  <si>
    <t>0.05</t>
  </si>
  <si>
    <t>roam_ip</t>
  </si>
  <si>
    <t>20%</t>
  </si>
  <si>
    <t>Random public IPv4</t>
  </si>
  <si>
    <t>Random Indian city ± 0.3°</t>
  </si>
  <si>
    <t>0.30</t>
  </si>
  <si>
    <t>risk_ip</t>
  </si>
  <si>
    <t>10%</t>
  </si>
  <si>
    <t>From HIGH_RISK_IP_PREFIXES pool (185.x, 45.x…)</t>
  </si>
  <si>
    <t>FORCED if vpn_flag=1</t>
  </si>
  <si>
    <t>Global random (−60 to 70° lat)</t>
  </si>
  <si>
    <t>0.80</t>
  </si>
  <si>
    <t>2. ip_risk_score Calculation (0.0 – 1.0)</t>
  </si>
  <si>
    <t>Component</t>
  </si>
  <si>
    <t>Formula</t>
  </si>
  <si>
    <t>Value Added</t>
  </si>
  <si>
    <t>Condition</t>
  </si>
  <si>
    <t>Notes</t>
  </si>
  <si>
    <t>Base score</t>
  </si>
  <si>
    <t>ip_risk_score = base</t>
  </si>
  <si>
    <t>0.05 / 0.30 / 0.80</t>
  </si>
  <si>
    <t>IP type = home / roam / risk</t>
  </si>
  <si>
    <t>Starting point before modifiers</t>
  </si>
  <si>
    <t>VPN modifier</t>
  </si>
  <si>
    <t>+= 0.15</t>
  </si>
  <si>
    <t>+0.15</t>
  </si>
  <si>
    <t>vpn_flag == 1</t>
  </si>
  <si>
    <t>VPN forces risk_ip AND adds penalty</t>
  </si>
  <si>
    <t>Rooted device modifier</t>
  </si>
  <si>
    <t>+= 0.10</t>
  </si>
  <si>
    <t>+0.10</t>
  </si>
  <si>
    <t>rooted_flag == 1</t>
  </si>
  <si>
    <t>Jailbroken device = higher tampering risk</t>
  </si>
  <si>
    <t>Emulator modifier</t>
  </si>
  <si>
    <t>emulator_flag == 1</t>
  </si>
  <si>
    <t>Script/bot environment</t>
  </si>
  <si>
    <t>Night transaction</t>
  </si>
  <si>
    <t>is_night == 1</t>
  </si>
  <si>
    <t>Off-hours activity</t>
  </si>
  <si>
    <t>High country risk</t>
  </si>
  <si>
    <t>+= 0.05</t>
  </si>
  <si>
    <t>+0.05</t>
  </si>
  <si>
    <t>country_risk == 'high'</t>
  </si>
  <si>
    <t>FATF-listed jurisdiction</t>
  </si>
  <si>
    <t>High KYC discount</t>
  </si>
  <si>
    <t>−= 0.05</t>
  </si>
  <si>
    <t>−0.05</t>
  </si>
  <si>
    <t>kyc_level == 'high'</t>
  </si>
  <si>
    <t>Verified identity reduces risk</t>
  </si>
  <si>
    <t>Cap</t>
  </si>
  <si>
    <t>min(max(score, 0.0), 1.0)  — score bounded to [0.0, 1.0]</t>
  </si>
  <si>
    <t>Always applied</t>
  </si>
  <si>
    <t>Score bounded to [0.0, 1.0]</t>
  </si>
  <si>
    <t>3. Geo Coordinates Assignment</t>
  </si>
  <si>
    <t>geo_lat Formula</t>
  </si>
  <si>
    <t>geo_lon Formula</t>
  </si>
  <si>
    <t>Jitter / Spread</t>
  </si>
  <si>
    <t>Real-world meaning</t>
  </si>
  <si>
    <t>home_lat + N(0, 0.05)</t>
  </si>
  <si>
    <t>home_lon + N(0, 0.05)</t>
  </si>
  <si>
    <t>±0.05° ≈ 5.5 km</t>
  </si>
  <si>
    <t>Customer's home city with slight movement noise</t>
  </si>
  <si>
    <t>random_city_lat + N(0, 0.3)</t>
  </si>
  <si>
    <t>random_city_lon + N(0, 0.3)</t>
  </si>
  <si>
    <t>±0.3° ≈ 33 km</t>
  </si>
  <si>
    <t>Different Indian city — travel / mobile data</t>
  </si>
  <si>
    <t>Uniform(−60, 70)</t>
  </si>
  <si>
    <t>Uniform(−180, 180)</t>
  </si>
  <si>
    <t>Global</t>
  </si>
  <si>
    <t>Outside India — Tor exit node / offshore proxy</t>
  </si>
  <si>
    <t>Flow Tracing — Calculation Detail</t>
  </si>
  <si>
    <t>Feature Assignment Rules</t>
  </si>
  <si>
    <t>Fraud Type</t>
  </si>
  <si>
    <t>Assignment Time</t>
  </si>
  <si>
    <t>Formula / Logic</t>
  </si>
  <si>
    <t>NULL condition</t>
  </si>
  <si>
    <t>Example value</t>
  </si>
  <si>
    <t>mule_ring</t>
  </si>
  <si>
    <t>Cell 6 (injection)</t>
  </si>
  <si>
    <t>FLOW_{ring_counter:05d} per ring</t>
  </si>
  <si>
    <t>Non-flow txns</t>
  </si>
  <si>
    <t>FLOW_00042</t>
  </si>
  <si>
    <t>Mule rings: 0–9999; Layering: 10000+</t>
  </si>
  <si>
    <t>layering</t>
  </si>
  <si>
    <t>FLOW_{chain_counter:05d} per chain</t>
  </si>
  <si>
    <t>FLOW_10001</t>
  </si>
  <si>
    <t>Same ID for all hops in one chain</t>
  </si>
  <si>
    <t>FLOW_{ring_counter:05d}   (one ID per ring)</t>
  </si>
  <si>
    <t>10</t>
  </si>
  <si>
    <t>All ring members share the same depth</t>
  </si>
  <si>
    <t>FLOW_{chain_counter:05d}  (10000+ offset from mule rings)</t>
  </si>
  <si>
    <t>3</t>
  </si>
  <si>
    <t>Constant per chain config</t>
  </si>
  <si>
    <t>accounts_per_ring = 10</t>
  </si>
  <si>
    <t>1, 2, … 10</t>
  </si>
  <si>
    <t>Position of this account in ring sequence</t>
  </si>
  <si>
    <t>chain_length = 3</t>
  </si>
  <si>
    <t>1, 2, 3</t>
  </si>
  <si>
    <t>1=origin account, 3=final hop</t>
  </si>
  <si>
    <t>enumerate(mule_accs, start=1)  → 1, 2, … 10</t>
  </si>
  <si>
    <t>0 / 847 / 1432 secs</t>
  </si>
  <si>
    <t>base_ts = timestamp of hop 1 for the same flow</t>
  </si>
  <si>
    <t>loop index i + 1  → 1, 2, 3</t>
  </si>
  <si>
    <t>varies</t>
  </si>
  <si>
    <t>ring_origin_ts set once per ring at injection</t>
  </si>
  <si>
    <t>(current_ts − base_ts).total_seconds()  [0 for hop_number==1]</t>
  </si>
  <si>
    <t>Example: 3-hop Layering Chain (FLOW_10001)</t>
  </si>
  <si>
    <t>(current_ts − ring_origin_ts).total_seconds()</t>
  </si>
  <si>
    <t>sender_account</t>
  </si>
  <si>
    <t>receiver_account</t>
  </si>
  <si>
    <t>1 (origin)</t>
  </si>
  <si>
    <t>A1042</t>
  </si>
  <si>
    <t>A5731</t>
  </si>
  <si>
    <t>2025-11-15 02:14</t>
  </si>
  <si>
    <t>₹98,431</t>
  </si>
  <si>
    <t>0 secs</t>
  </si>
  <si>
    <t>2</t>
  </si>
  <si>
    <t>A2209</t>
  </si>
  <si>
    <t>2025-11-15 02:27</t>
  </si>
  <si>
    <t>₹81,605</t>
  </si>
  <si>
    <t>+783 secs (13 min)</t>
  </si>
  <si>
    <t>3 (final)</t>
  </si>
  <si>
    <t>2025-11-15 02:44</t>
  </si>
  <si>
    <t>₹67,721</t>
  </si>
  <si>
    <t>+1,800 secs (30 min)</t>
  </si>
  <si>
    <t>Fraud Intensity Score — Calculation Detail</t>
  </si>
  <si>
    <t>Weight Param</t>
  </si>
  <si>
    <t>Weight Value</t>
  </si>
  <si>
    <t>Input Feature</t>
  </si>
  <si>
    <t>Max Contribution</t>
  </si>
  <si>
    <t>Rule Score component</t>
  </si>
  <si>
    <t>FIS_W_RULE</t>
  </si>
  <si>
    <t>0.5</t>
  </si>
  <si>
    <t>weighted_rule_score</t>
  </si>
  <si>
    <t>varies (rule-dependent)</t>
  </si>
  <si>
    <t>Sum of all triggered rule severities (1–3 each)</t>
  </si>
  <si>
    <t>Label component</t>
  </si>
  <si>
    <t>FIS_W_LABEL × 10</t>
  </si>
  <si>
    <t>0.3 × 10 = 3.0 per unit</t>
  </si>
  <si>
    <t>label (0 or 1)</t>
  </si>
  <si>
    <t>30.0</t>
  </si>
  <si>
    <t>Known fraud txns get +30 contribution</t>
  </si>
  <si>
    <t>Balance drain component</t>
  </si>
  <si>
    <t>FIS_W_BALANCE × min(ratio, 10)</t>
  </si>
  <si>
    <t>0.2 × [0–10]</t>
  </si>
  <si>
    <t>amount_to_balance_ratio</t>
  </si>
  <si>
    <t>20.0</t>
  </si>
  <si>
    <t>Capped at 10× to prevent runaway scores</t>
  </si>
  <si>
    <t>Raw score</t>
  </si>
  <si>
    <t>sum of above</t>
  </si>
  <si>
    <t>up to ~100+</t>
  </si>
  <si>
    <t>Before scaling cap</t>
  </si>
  <si>
    <t>clip(raw, 0, FIS_SCALE)</t>
  </si>
  <si>
    <t>FIS_SCALE = 100</t>
  </si>
  <si>
    <t>raw_fis</t>
  </si>
  <si>
    <t>100.0</t>
  </si>
  <si>
    <t>Final score bounded to 0–100</t>
  </si>
  <si>
    <t>Full Formula</t>
  </si>
  <si>
    <t>raw_fis = 0.5 × weighted_rule_score  +  0.3 × label × 10  +  0.2 × min(amount_to_balance_ratio, 10)</t>
  </si>
  <si>
    <t>fraud_intensity_score = min(raw_fis, 100)   →   rounded to 2 decimal places</t>
  </si>
  <si>
    <t>Score Interpretation</t>
  </si>
  <si>
    <t>Score Range</t>
  </si>
  <si>
    <t>Risk Level</t>
  </si>
  <si>
    <t>Recommended Action</t>
  </si>
  <si>
    <t>0 – 20</t>
  </si>
  <si>
    <t>🟢 Very Low</t>
  </si>
  <si>
    <t>No action required — routine monitoring</t>
  </si>
  <si>
    <t>21 – 40</t>
  </si>
  <si>
    <t>🟡 Low</t>
  </si>
  <si>
    <t>Log for review; check velocity trends</t>
  </si>
  <si>
    <t>41 – 60</t>
  </si>
  <si>
    <t>🟠 Medium</t>
  </si>
  <si>
    <t>Flag for analyst review within 24hrs</t>
  </si>
  <si>
    <t>61 – 80</t>
  </si>
  <si>
    <t>🔴 High</t>
  </si>
  <si>
    <t>Immediate alert — senior AML review required</t>
  </si>
  <si>
    <t>81 – 100</t>
  </si>
  <si>
    <t>🔴🔴 Critical</t>
  </si>
  <si>
    <t>Transaction hold + SAR filing consideration</t>
  </si>
  <si>
    <t>Worked Examples</t>
  </si>
  <si>
    <t>Transaction</t>
  </si>
  <si>
    <t>label</t>
  </si>
  <si>
    <t>Band</t>
  </si>
  <si>
    <t>Normal — legit wire</t>
  </si>
  <si>
    <t>4</t>
  </si>
  <si>
    <t>0</t>
  </si>
  <si>
    <t>0.12</t>
  </si>
  <si>
    <t>0.5×4 + 0×10 + 0.2×0.12 = 2.02</t>
  </si>
  <si>
    <t>Very Low</t>
  </si>
  <si>
    <t>Suspicious — night + high vel</t>
  </si>
  <si>
    <t>18</t>
  </si>
  <si>
    <t>1.80</t>
  </si>
  <si>
    <t>0.5×18 + 0×10 + 0.2×1.8 = 9.36</t>
  </si>
  <si>
    <t>Fraud — ATO</t>
  </si>
  <si>
    <t>22</t>
  </si>
  <si>
    <t>1</t>
  </si>
  <si>
    <t>4.50</t>
  </si>
  <si>
    <t>0.5×22 + 1×10×0.3 + 0.2×4.5 = 11+3+0.9 = 14.90</t>
  </si>
  <si>
    <t>Low</t>
  </si>
  <si>
    <t>Fraud — Layering + VPN</t>
  </si>
  <si>
    <t>35</t>
  </si>
  <si>
    <t>8.20</t>
  </si>
  <si>
    <t>0.5×35 + 1×10×0.3 + 0.2×8.2 = 17.5+3+1.64 = 22.14</t>
  </si>
  <si>
    <t>Fraud — Dormant + Offshore</t>
  </si>
  <si>
    <t>56</t>
  </si>
  <si>
    <t>12.0</t>
  </si>
  <si>
    <t>0.5×56 + 1×10×0.3 + 0.2×10 = 28+3+2 = 33.00</t>
  </si>
  <si>
    <t>Medium</t>
  </si>
  <si>
    <t>Relationship Graph Layer — Shared Identity Calculation</t>
  </si>
  <si>
    <t>Algorithm: assign_shared_ids()</t>
  </si>
  <si>
    <t>Field</t>
  </si>
  <si>
    <t>Config Param</t>
  </si>
  <si>
    <t>Target Fraction</t>
  </si>
  <si>
    <t>Group Size Range</t>
  </si>
  <si>
    <t>Label Format</t>
  </si>
  <si>
    <t>NULL meaning</t>
  </si>
  <si>
    <t>SHARED_KYC_FRAC = 0.065</t>
  </si>
  <si>
    <t>6.5% of customers</t>
  </si>
  <si>
    <t>2 – 4 per group</t>
  </si>
  <si>
    <t>KYC_00001, KYC_00002…</t>
  </si>
  <si>
    <t>Unique KYC document</t>
  </si>
  <si>
    <t>SHARED_PHONE_FRAC = 0.015</t>
  </si>
  <si>
    <t>1.5% of customers</t>
  </si>
  <si>
    <t>2 – 3 per group</t>
  </si>
  <si>
    <t>PHONE_00001…</t>
  </si>
  <si>
    <t>Unique phone number</t>
  </si>
  <si>
    <t>SHARED_EMAIL_FRAC = 0.015</t>
  </si>
  <si>
    <t>EMAIL_00001…</t>
  </si>
  <si>
    <t>Unique email address</t>
  </si>
  <si>
    <t>Pseudocode</t>
  </si>
  <si>
    <t>1.  rng = np.random.default_rng(RANDOM_SEED + seed_offset)     # independent seed per field</t>
  </si>
  <si>
    <t>2.  indices = rng.permutation(NUM_CUSTOMERS)                    # shuffle all customer indices</t>
  </si>
  <si>
    <t>3.  target = int(NUM_CUSTOMERS × frac)                         # how many customers to assign</t>
  </si>
  <si>
    <t>4.  i = 0; group_num = 0</t>
  </si>
  <si>
    <t>5.  WHILE i &lt; target:</t>
  </si>
  <si>
    <t>6.      g_size = rng.integers(group_min, group_max + 1)         # random group size</t>
  </si>
  <si>
    <t>7.      label  = f'{prefix}_{group_num:05d}'                   # e.g. 'KYC_00042'</t>
  </si>
  <si>
    <t>8.      ASSIGN label to indices[i : i + g_size]</t>
  </si>
  <si>
    <t>9.      i += g_size; group_num += 1</t>
  </si>
  <si>
    <t>10. All unassigned customers → pd.NA (NULL)                     # unique identity</t>
  </si>
  <si>
    <t>AML Signal Interpretation</t>
  </si>
  <si>
    <t>Non-NULL means</t>
  </si>
  <si>
    <t>AML typology</t>
  </si>
  <si>
    <t>Detection logic</t>
  </si>
  <si>
    <t>Same KYC doc submitted for 2–4 accounts</t>
  </si>
  <si>
    <t>Synthetic identity, mule ring</t>
  </si>
  <si>
    <t>COUNT(customer_id) GROUP BY shared_kyc_id WHERE NOT NULL &gt; 1</t>
  </si>
  <si>
    <t>Same mobile number linked to multiple customers</t>
  </si>
  <si>
    <t>Mule recruitment / SIM swapping</t>
  </si>
  <si>
    <t>JOIN on shared_phone_hash → flag accounts in same phone group</t>
  </si>
  <si>
    <t>Same email used across customer records</t>
  </si>
  <si>
    <t>Identity farming, account clustering</t>
  </si>
  <si>
    <t>Graph edge: email_group → N customer nodes</t>
  </si>
  <si>
    <t>₹70,000 (avg_balance — 1st txn)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</si>
</sst>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2D3D"/>
      <name val="Arial"/>
      <family val="2"/>
    </font>
    <font>
      <b/>
      <sz val="9"/>
      <color rgb="FF7030A0"/>
      <name val="Arial"/>
      <family val="2"/>
    </font>
    <font>
      <sz val="9"/>
      <color rgb="FF1F2D3D"/>
      <name val="Arial"/>
      <family val="2"/>
    </font>
    <font>
      <i/>
      <sz val="9"/>
      <color rgb="FF1F2D3D"/>
      <name val="Arial"/>
      <family val="2"/>
    </font>
    <font>
      <b/>
      <sz val="9"/>
      <color rgb="FF0070C0"/>
      <name val="Arial"/>
      <family val="2"/>
    </font>
    <font>
      <b/>
      <sz val="9"/>
      <color rgb="FFC9511F"/>
      <name val="Arial"/>
      <family val="2"/>
    </font>
    <font>
      <b/>
      <sz val="9"/>
      <color rgb="FF00B050"/>
      <name val="Arial"/>
      <family val="2"/>
    </font>
    <font>
      <b/>
      <sz val="9"/>
      <color rgb="FFC00000"/>
      <name val="Arial"/>
      <family val="2"/>
    </font>
    <font>
      <b/>
      <sz val="13"/>
      <color rgb="FFFFFFFF"/>
      <name val="Arial"/>
      <family val="2"/>
    </font>
    <font>
      <i/>
      <sz val="9"/>
      <color rgb="FF0070C0"/>
      <name val="Arial"/>
      <family val="2"/>
    </font>
    <font>
      <b/>
      <sz val="10"/>
      <color rgb="FFFFFFFF"/>
      <name val="Arial"/>
      <family val="2"/>
    </font>
    <font>
      <b/>
      <i/>
      <sz val="9"/>
      <color rgb="FFC00000"/>
      <name val="Arial"/>
      <family val="2"/>
    </font>
    <font>
      <b/>
      <i/>
      <sz val="9"/>
      <color rgb="FF1F2D3D"/>
      <name val="Arial"/>
      <family val="2"/>
    </font>
    <font>
      <b/>
      <i/>
      <sz val="11"/>
      <color rgb="FFC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rgb="FF1F2D3D"/>
      <name val="Courier New"/>
      <family val="3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1F2D3D"/>
      </patternFill>
    </fill>
    <fill>
      <patternFill patternType="solid">
        <fgColor rgb="FF2E75B6"/>
        <bgColor rgb="FF0070C0"/>
      </patternFill>
    </fill>
    <fill>
      <patternFill patternType="solid">
        <fgColor rgb="FFBDD7EE"/>
        <bgColor rgb="FFB8CCE4"/>
      </patternFill>
    </fill>
    <fill>
      <patternFill patternType="solid">
        <fgColor rgb="FFFFFFFF"/>
        <bgColor rgb="FFFFF2CC"/>
      </patternFill>
    </fill>
    <fill>
      <patternFill patternType="solid">
        <fgColor rgb="FFD9E1F2"/>
        <bgColor rgb="FFD5F0DC"/>
      </patternFill>
    </fill>
    <fill>
      <patternFill patternType="solid">
        <fgColor rgb="FF0070C0"/>
        <bgColor rgb="FF008080"/>
      </patternFill>
    </fill>
    <fill>
      <patternFill patternType="solid">
        <fgColor rgb="FFC9511F"/>
        <bgColor rgb="FF993300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FF9C4"/>
      </patternFill>
    </fill>
    <fill>
      <patternFill patternType="solid">
        <fgColor rgb="FFD5F0DC"/>
        <bgColor rgb="FFD9E1F2"/>
      </patternFill>
    </fill>
    <fill>
      <patternFill patternType="solid">
        <fgColor rgb="FFFFF9C4"/>
        <bgColor rgb="FFFFF2CC"/>
      </patternFill>
    </fill>
    <fill>
      <patternFill patternType="solid">
        <fgColor rgb="FFFFE0B2"/>
        <bgColor rgb="FFFFD7D7"/>
      </patternFill>
    </fill>
    <fill>
      <patternFill patternType="solid">
        <fgColor rgb="FFFFD7D7"/>
        <bgColor rgb="FFFFE0B2"/>
      </patternFill>
    </fill>
    <fill>
      <patternFill patternType="solid">
        <fgColor rgb="FFFFB3B3"/>
        <bgColor rgb="FFFFD7D7"/>
      </patternFill>
    </fill>
    <fill>
      <patternFill patternType="solid">
        <fgColor rgb="FF7030A0"/>
        <bgColor rgb="FF993366"/>
      </patternFill>
    </fill>
  </fills>
  <borders count="3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5" fillId="6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center" vertical="center" wrapText="1"/>
    </xf>
    <xf numFmtId="0" fontId="18" fillId="14" borderId="2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7" fillId="15" borderId="2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left" vertical="center" wrapText="1"/>
    </xf>
    <xf numFmtId="0" fontId="17" fillId="12" borderId="2" xfId="0" applyFont="1" applyFill="1" applyBorder="1" applyAlignment="1">
      <alignment horizontal="left" vertical="center" wrapText="1"/>
    </xf>
    <xf numFmtId="0" fontId="17" fillId="13" borderId="2" xfId="0" applyFont="1" applyFill="1" applyBorder="1" applyAlignment="1">
      <alignment horizontal="left" vertical="center" wrapText="1"/>
    </xf>
    <xf numFmtId="0" fontId="17" fillId="14" borderId="2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7030A0"/>
      <rgbColor rgb="FFFFF9C4"/>
      <rgbColor rgb="FFD9E1F2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D7D7"/>
      <rgbColor rgb="FFD5F0DC"/>
      <rgbColor rgb="FFFFF2CC"/>
      <rgbColor rgb="FF99CCFF"/>
      <rgbColor rgb="FFFFB3B3"/>
      <rgbColor rgb="FFCC99FF"/>
      <rgbColor rgb="FFFFE0B2"/>
      <rgbColor rgb="FF2E75B6"/>
      <rgbColor rgb="FF33CCCC"/>
      <rgbColor rgb="FF99CC00"/>
      <rgbColor rgb="FFFFCC00"/>
      <rgbColor rgb="FFFF9900"/>
      <rgbColor rgb="FFC9511F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zoomScaleNormal="100" workbookViewId="0">
      <selection activeCell="F23" sqref="F23"/>
    </sheetView>
  </sheetViews>
  <sheetFormatPr defaultColWidth="8.6640625" defaultRowHeight="14.4" x14ac:dyDescent="0.3"/>
  <cols>
    <col min="1" max="1" width="28" customWidth="1"/>
    <col min="2" max="2" width="20" style="37" customWidth="1"/>
    <col min="3" max="3" width="13.44140625" style="37" hidden="1" customWidth="1"/>
    <col min="4" max="4" width="12" style="37" hidden="1" customWidth="1"/>
    <col min="5" max="5" width="18" style="37" customWidth="1"/>
    <col min="6" max="6" width="31.77734375" style="37" customWidth="1"/>
    <col min="7" max="7" width="60" customWidth="1"/>
  </cols>
  <sheetData>
    <row r="1" spans="1:7" ht="36" customHeight="1" x14ac:dyDescent="0.3">
      <c r="A1" s="38" t="s">
        <v>0</v>
      </c>
      <c r="B1" s="38"/>
      <c r="C1" s="38"/>
      <c r="D1" s="38"/>
      <c r="E1" s="38"/>
      <c r="F1" s="38"/>
      <c r="G1" s="38"/>
    </row>
    <row r="2" spans="1:7" ht="21.75" customHeight="1" x14ac:dyDescent="0.3">
      <c r="A2" s="39" t="s">
        <v>1</v>
      </c>
      <c r="B2" s="39"/>
      <c r="C2" s="39"/>
      <c r="D2" s="39"/>
      <c r="E2" s="39"/>
      <c r="F2" s="39"/>
      <c r="G2" s="39"/>
    </row>
    <row r="3" spans="1:7" ht="27.75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spans="1:7" ht="15.75" customHeight="1" x14ac:dyDescent="0.3">
      <c r="A4" s="7" t="s">
        <v>9</v>
      </c>
      <c r="B4" s="8" t="s">
        <v>10</v>
      </c>
      <c r="C4" s="8" t="s">
        <v>11</v>
      </c>
      <c r="D4" s="8" t="s">
        <v>12</v>
      </c>
      <c r="E4" s="35" t="s">
        <v>13</v>
      </c>
      <c r="F4" s="8" t="s">
        <v>14</v>
      </c>
      <c r="G4" s="3" t="s">
        <v>15</v>
      </c>
    </row>
    <row r="5" spans="1:7" ht="15.75" customHeight="1" x14ac:dyDescent="0.3">
      <c r="A5" s="9" t="s">
        <v>16</v>
      </c>
      <c r="B5" s="10" t="s">
        <v>10</v>
      </c>
      <c r="C5" s="10" t="s">
        <v>11</v>
      </c>
      <c r="D5" s="10" t="s">
        <v>12</v>
      </c>
      <c r="E5" s="36" t="s">
        <v>13</v>
      </c>
      <c r="F5" s="10" t="s">
        <v>17</v>
      </c>
      <c r="G5" s="1" t="s">
        <v>18</v>
      </c>
    </row>
    <row r="6" spans="1:7" ht="15.75" customHeight="1" x14ac:dyDescent="0.3">
      <c r="A6" s="7" t="s">
        <v>19</v>
      </c>
      <c r="B6" s="8" t="s">
        <v>10</v>
      </c>
      <c r="C6" s="8" t="s">
        <v>11</v>
      </c>
      <c r="D6" s="8" t="s">
        <v>12</v>
      </c>
      <c r="E6" s="35" t="s">
        <v>13</v>
      </c>
      <c r="F6" s="8" t="s">
        <v>20</v>
      </c>
      <c r="G6" s="3" t="s">
        <v>21</v>
      </c>
    </row>
    <row r="7" spans="1:7" ht="15.75" customHeight="1" x14ac:dyDescent="0.3">
      <c r="A7" s="11" t="s">
        <v>22</v>
      </c>
      <c r="B7" s="10" t="s">
        <v>23</v>
      </c>
      <c r="C7" s="10" t="s">
        <v>24</v>
      </c>
      <c r="D7" s="10" t="s">
        <v>25</v>
      </c>
      <c r="E7" s="36" t="s">
        <v>26</v>
      </c>
      <c r="F7" s="10" t="s">
        <v>27</v>
      </c>
      <c r="G7" s="1" t="s">
        <v>28</v>
      </c>
    </row>
    <row r="8" spans="1:7" ht="15.75" customHeight="1" x14ac:dyDescent="0.3">
      <c r="A8" s="12" t="s">
        <v>29</v>
      </c>
      <c r="B8" s="8" t="s">
        <v>23</v>
      </c>
      <c r="C8" s="8" t="s">
        <v>24</v>
      </c>
      <c r="D8" s="8" t="s">
        <v>25</v>
      </c>
      <c r="E8" s="35" t="s">
        <v>30</v>
      </c>
      <c r="F8" s="8" t="s">
        <v>31</v>
      </c>
      <c r="G8" s="3" t="s">
        <v>32</v>
      </c>
    </row>
    <row r="9" spans="1:7" ht="15.75" customHeight="1" x14ac:dyDescent="0.3">
      <c r="A9" s="11" t="s">
        <v>33</v>
      </c>
      <c r="B9" s="10" t="s">
        <v>23</v>
      </c>
      <c r="C9" s="10" t="s">
        <v>24</v>
      </c>
      <c r="D9" s="10" t="s">
        <v>25</v>
      </c>
      <c r="E9" s="36" t="s">
        <v>30</v>
      </c>
      <c r="F9" s="10" t="s">
        <v>34</v>
      </c>
      <c r="G9" s="1" t="s">
        <v>35</v>
      </c>
    </row>
    <row r="10" spans="1:7" ht="15.75" customHeight="1" x14ac:dyDescent="0.3">
      <c r="A10" s="12" t="s">
        <v>36</v>
      </c>
      <c r="B10" s="8" t="s">
        <v>23</v>
      </c>
      <c r="C10" s="8" t="s">
        <v>24</v>
      </c>
      <c r="D10" s="8" t="s">
        <v>25</v>
      </c>
      <c r="E10" s="35" t="s">
        <v>30</v>
      </c>
      <c r="F10" s="8" t="s">
        <v>37</v>
      </c>
      <c r="G10" s="3" t="s">
        <v>38</v>
      </c>
    </row>
    <row r="11" spans="1:7" ht="15.75" customHeight="1" x14ac:dyDescent="0.3">
      <c r="A11" s="13" t="s">
        <v>39</v>
      </c>
      <c r="B11" s="10" t="s">
        <v>40</v>
      </c>
      <c r="C11" s="10" t="s">
        <v>24</v>
      </c>
      <c r="D11" s="10" t="s">
        <v>41</v>
      </c>
      <c r="E11" s="36" t="s">
        <v>13</v>
      </c>
      <c r="F11" s="10" t="s">
        <v>42</v>
      </c>
      <c r="G11" s="1" t="s">
        <v>43</v>
      </c>
    </row>
    <row r="12" spans="1:7" ht="15.75" customHeight="1" x14ac:dyDescent="0.3">
      <c r="A12" s="14" t="s">
        <v>44</v>
      </c>
      <c r="B12" s="8" t="s">
        <v>40</v>
      </c>
      <c r="C12" s="8" t="s">
        <v>24</v>
      </c>
      <c r="D12" s="8" t="s">
        <v>41</v>
      </c>
      <c r="E12" s="35" t="s">
        <v>45</v>
      </c>
      <c r="F12" s="8" t="s">
        <v>46</v>
      </c>
      <c r="G12" s="3" t="s">
        <v>47</v>
      </c>
    </row>
    <row r="13" spans="1:7" ht="15.75" customHeight="1" x14ac:dyDescent="0.3">
      <c r="A13" s="13" t="s">
        <v>48</v>
      </c>
      <c r="B13" s="10" t="s">
        <v>40</v>
      </c>
      <c r="C13" s="10" t="s">
        <v>24</v>
      </c>
      <c r="D13" s="10" t="s">
        <v>41</v>
      </c>
      <c r="E13" s="36" t="s">
        <v>45</v>
      </c>
      <c r="F13" s="10" t="s">
        <v>49</v>
      </c>
      <c r="G13" s="1" t="s">
        <v>50</v>
      </c>
    </row>
    <row r="14" spans="1:7" ht="15.75" customHeight="1" x14ac:dyDescent="0.3">
      <c r="A14" s="14" t="s">
        <v>51</v>
      </c>
      <c r="B14" s="8" t="s">
        <v>40</v>
      </c>
      <c r="C14" s="8" t="s">
        <v>24</v>
      </c>
      <c r="D14" s="8" t="s">
        <v>52</v>
      </c>
      <c r="E14" s="35" t="s">
        <v>53</v>
      </c>
      <c r="F14" s="8" t="s">
        <v>54</v>
      </c>
      <c r="G14" s="3" t="s">
        <v>55</v>
      </c>
    </row>
    <row r="15" spans="1:7" ht="15.75" customHeight="1" x14ac:dyDescent="0.3">
      <c r="A15" s="15" t="s">
        <v>56</v>
      </c>
      <c r="B15" s="10" t="s">
        <v>57</v>
      </c>
      <c r="C15" s="10" t="s">
        <v>24</v>
      </c>
      <c r="D15" s="10" t="s">
        <v>52</v>
      </c>
      <c r="E15" s="36" t="s">
        <v>58</v>
      </c>
      <c r="F15" s="10" t="s">
        <v>59</v>
      </c>
      <c r="G15" s="1" t="s">
        <v>60</v>
      </c>
    </row>
    <row r="16" spans="1:7" ht="15.75" customHeight="1" x14ac:dyDescent="0.3">
      <c r="A16" s="16" t="s">
        <v>61</v>
      </c>
      <c r="B16" s="8" t="s">
        <v>57</v>
      </c>
      <c r="C16" s="8" t="s">
        <v>24</v>
      </c>
      <c r="D16" s="8" t="s">
        <v>52</v>
      </c>
      <c r="E16" s="35" t="s">
        <v>58</v>
      </c>
      <c r="F16" s="8" t="s">
        <v>59</v>
      </c>
      <c r="G16" s="3" t="s">
        <v>62</v>
      </c>
    </row>
    <row r="17" spans="1:7" ht="15.75" customHeight="1" x14ac:dyDescent="0.3">
      <c r="A17" s="15" t="s">
        <v>63</v>
      </c>
      <c r="B17" s="10" t="s">
        <v>57</v>
      </c>
      <c r="C17" s="10" t="s">
        <v>24</v>
      </c>
      <c r="D17" s="10" t="s">
        <v>52</v>
      </c>
      <c r="E17" s="36" t="s">
        <v>58</v>
      </c>
      <c r="F17" s="10" t="s">
        <v>59</v>
      </c>
      <c r="G17" s="1" t="s">
        <v>64</v>
      </c>
    </row>
    <row r="18" spans="1:7" ht="15.75" customHeight="1" x14ac:dyDescent="0.3">
      <c r="A18" s="16" t="s">
        <v>65</v>
      </c>
      <c r="B18" s="8" t="s">
        <v>57</v>
      </c>
      <c r="C18" s="8" t="s">
        <v>24</v>
      </c>
      <c r="D18" s="8" t="s">
        <v>52</v>
      </c>
      <c r="E18" s="35" t="s">
        <v>58</v>
      </c>
      <c r="F18" s="8" t="s">
        <v>66</v>
      </c>
      <c r="G18" s="3" t="s">
        <v>67</v>
      </c>
    </row>
    <row r="19" spans="1:7" ht="15.75" customHeight="1" x14ac:dyDescent="0.3">
      <c r="A19" s="15" t="s">
        <v>68</v>
      </c>
      <c r="B19" s="10" t="s">
        <v>57</v>
      </c>
      <c r="C19" s="10" t="s">
        <v>24</v>
      </c>
      <c r="D19" s="10" t="s">
        <v>52</v>
      </c>
      <c r="E19" s="36" t="s">
        <v>58</v>
      </c>
      <c r="F19" s="10" t="s">
        <v>69</v>
      </c>
      <c r="G19" s="1" t="s">
        <v>70</v>
      </c>
    </row>
    <row r="20" spans="1:7" ht="15.75" customHeight="1" x14ac:dyDescent="0.3">
      <c r="A20" s="17" t="s">
        <v>71</v>
      </c>
      <c r="B20" s="8" t="s">
        <v>72</v>
      </c>
      <c r="C20" s="8" t="s">
        <v>24</v>
      </c>
      <c r="D20" s="8" t="s">
        <v>52</v>
      </c>
      <c r="E20" s="35" t="s">
        <v>30</v>
      </c>
      <c r="F20" s="8" t="s">
        <v>73</v>
      </c>
      <c r="G20" s="3" t="s">
        <v>74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tabSelected="1" topLeftCell="B1" zoomScaleNormal="100" workbookViewId="0">
      <pane ySplit="3" topLeftCell="A4" activePane="bottomLeft" state="frozen"/>
      <selection pane="bottomLeft" activeCell="A3" sqref="A3:I8"/>
    </sheetView>
  </sheetViews>
  <sheetFormatPr defaultColWidth="8.6640625" defaultRowHeight="14.4" x14ac:dyDescent="0.3"/>
  <cols>
    <col min="1" max="1" width="20" customWidth="1"/>
    <col min="2" max="2" width="16" customWidth="1"/>
    <col min="3" max="3" width="14" customWidth="1"/>
    <col min="4" max="4" width="12" customWidth="1"/>
    <col min="5" max="7" width="28" customWidth="1"/>
    <col min="8" max="9" width="36" customWidth="1"/>
  </cols>
  <sheetData>
    <row r="1" spans="1:9" ht="21.75" customHeight="1" x14ac:dyDescent="0.3">
      <c r="A1" s="44" t="s">
        <v>75</v>
      </c>
      <c r="B1" s="44"/>
      <c r="C1" s="44"/>
      <c r="D1" s="44"/>
      <c r="E1" s="44"/>
      <c r="F1" s="44"/>
      <c r="G1" s="44"/>
      <c r="H1" s="44"/>
      <c r="I1" s="44"/>
    </row>
    <row r="2" spans="1:9" ht="21.75" customHeight="1" x14ac:dyDescent="0.3">
      <c r="A2" s="39" t="s">
        <v>76</v>
      </c>
      <c r="B2" s="39"/>
      <c r="C2" s="39"/>
      <c r="D2" s="39"/>
      <c r="E2" s="39"/>
      <c r="F2" s="39"/>
      <c r="G2" s="39"/>
      <c r="H2" s="39"/>
      <c r="I2" s="39"/>
    </row>
    <row r="3" spans="1:9" ht="27.75" customHeight="1" x14ac:dyDescent="0.3">
      <c r="A3" s="6" t="s">
        <v>77</v>
      </c>
      <c r="B3" s="6" t="s">
        <v>78</v>
      </c>
      <c r="C3" s="6" t="s">
        <v>79</v>
      </c>
      <c r="D3" s="6" t="s">
        <v>80</v>
      </c>
      <c r="E3" s="6" t="s">
        <v>56</v>
      </c>
      <c r="F3" s="6" t="s">
        <v>65</v>
      </c>
      <c r="G3" s="6" t="s">
        <v>61</v>
      </c>
      <c r="H3" s="6" t="s">
        <v>81</v>
      </c>
      <c r="I3" s="6" t="s">
        <v>68</v>
      </c>
    </row>
    <row r="4" spans="1:9" ht="15.75" customHeight="1" x14ac:dyDescent="0.3">
      <c r="A4" s="3" t="s">
        <v>82</v>
      </c>
      <c r="B4" s="3" t="s">
        <v>83</v>
      </c>
      <c r="C4" s="3" t="s">
        <v>84</v>
      </c>
      <c r="D4" s="3" t="s">
        <v>85</v>
      </c>
      <c r="E4" s="18" t="s">
        <v>392</v>
      </c>
      <c r="F4" s="18" t="s">
        <v>86</v>
      </c>
      <c r="G4" s="18">
        <f>70000-12000</f>
        <v>58000</v>
      </c>
      <c r="H4" s="18" t="s">
        <v>87</v>
      </c>
      <c r="I4" s="18" t="s">
        <v>88</v>
      </c>
    </row>
    <row r="5" spans="1:9" ht="15.75" customHeight="1" x14ac:dyDescent="0.3">
      <c r="A5" s="1" t="s">
        <v>82</v>
      </c>
      <c r="B5" s="1" t="s">
        <v>89</v>
      </c>
      <c r="C5" s="1" t="s">
        <v>90</v>
      </c>
      <c r="D5" s="1" t="s">
        <v>91</v>
      </c>
      <c r="E5" s="19" t="s">
        <v>92</v>
      </c>
      <c r="F5" s="19" t="s">
        <v>93</v>
      </c>
      <c r="G5" s="19">
        <f>G4+C5</f>
        <v>61500</v>
      </c>
      <c r="H5" s="19" t="s">
        <v>94</v>
      </c>
      <c r="I5" s="19" t="s">
        <v>95</v>
      </c>
    </row>
    <row r="6" spans="1:9" ht="15.75" customHeight="1" x14ac:dyDescent="0.3">
      <c r="A6" s="3" t="s">
        <v>82</v>
      </c>
      <c r="B6" s="3" t="s">
        <v>96</v>
      </c>
      <c r="C6" s="3" t="s">
        <v>97</v>
      </c>
      <c r="D6" s="3" t="s">
        <v>85</v>
      </c>
      <c r="E6" s="18" t="s">
        <v>94</v>
      </c>
      <c r="F6" s="18" t="s">
        <v>98</v>
      </c>
      <c r="G6" s="18">
        <f>G5-C6</f>
        <v>53500</v>
      </c>
      <c r="H6" s="18" t="s">
        <v>99</v>
      </c>
      <c r="I6" s="18" t="s">
        <v>100</v>
      </c>
    </row>
    <row r="7" spans="1:9" ht="15.75" customHeight="1" x14ac:dyDescent="0.3">
      <c r="A7" s="1" t="s">
        <v>82</v>
      </c>
      <c r="B7" s="1" t="s">
        <v>101</v>
      </c>
      <c r="C7" s="1" t="s">
        <v>102</v>
      </c>
      <c r="D7" s="1" t="s">
        <v>85</v>
      </c>
      <c r="E7" s="19" t="s">
        <v>99</v>
      </c>
      <c r="F7" s="19" t="s">
        <v>103</v>
      </c>
      <c r="G7" s="19">
        <f>G6-C7</f>
        <v>28500</v>
      </c>
      <c r="H7" s="19" t="s">
        <v>104</v>
      </c>
      <c r="I7" s="19" t="s">
        <v>105</v>
      </c>
    </row>
    <row r="8" spans="1:9" ht="15.75" customHeight="1" x14ac:dyDescent="0.3">
      <c r="A8" s="3" t="s">
        <v>106</v>
      </c>
      <c r="B8" s="3" t="s">
        <v>107</v>
      </c>
      <c r="C8" s="3" t="s">
        <v>108</v>
      </c>
      <c r="D8" s="3" t="s">
        <v>91</v>
      </c>
      <c r="E8" s="18" t="s">
        <v>109</v>
      </c>
      <c r="F8" s="18" t="s">
        <v>110</v>
      </c>
      <c r="G8" s="18">
        <f>G7+C8</f>
        <v>33500</v>
      </c>
      <c r="H8" s="18" t="s">
        <v>111</v>
      </c>
      <c r="I8" s="18" t="s">
        <v>110</v>
      </c>
    </row>
    <row r="10" spans="1:9" ht="19.5" customHeight="1" x14ac:dyDescent="0.3">
      <c r="A10" s="45" t="s">
        <v>112</v>
      </c>
      <c r="B10" s="45"/>
      <c r="C10" s="45"/>
      <c r="D10" s="45"/>
      <c r="E10" s="45"/>
      <c r="F10" s="45"/>
      <c r="G10" s="45"/>
      <c r="H10" s="45"/>
      <c r="I10" s="45"/>
    </row>
    <row r="11" spans="1:9" ht="31.5" customHeight="1" x14ac:dyDescent="0.3">
      <c r="A11" s="16" t="s">
        <v>113</v>
      </c>
      <c r="B11" s="40" t="s">
        <v>114</v>
      </c>
      <c r="C11" s="40"/>
      <c r="D11" s="40"/>
      <c r="E11" s="40"/>
      <c r="F11" s="40"/>
      <c r="G11" s="4"/>
      <c r="H11" s="41" t="s">
        <v>115</v>
      </c>
      <c r="I11" s="41"/>
    </row>
    <row r="12" spans="1:9" ht="31.5" customHeight="1" x14ac:dyDescent="0.3">
      <c r="A12" s="15" t="s">
        <v>56</v>
      </c>
      <c r="B12" s="42" t="s">
        <v>116</v>
      </c>
      <c r="C12" s="42"/>
      <c r="D12" s="42"/>
      <c r="E12" s="42"/>
      <c r="F12" s="42"/>
      <c r="G12" s="2"/>
      <c r="H12" s="43" t="s">
        <v>117</v>
      </c>
      <c r="I12" s="43"/>
    </row>
    <row r="13" spans="1:9" ht="31.5" customHeight="1" x14ac:dyDescent="0.3">
      <c r="A13" s="16" t="s">
        <v>61</v>
      </c>
      <c r="B13" s="40" t="s">
        <v>118</v>
      </c>
      <c r="C13" s="40"/>
      <c r="D13" s="40"/>
      <c r="E13" s="40"/>
      <c r="F13" s="40"/>
      <c r="G13" s="4"/>
      <c r="H13" s="41" t="s">
        <v>119</v>
      </c>
      <c r="I13" s="41"/>
    </row>
    <row r="14" spans="1:9" ht="31.5" customHeight="1" x14ac:dyDescent="0.3">
      <c r="A14" s="15" t="s">
        <v>63</v>
      </c>
      <c r="B14" s="42" t="s">
        <v>120</v>
      </c>
      <c r="C14" s="42"/>
      <c r="D14" s="42"/>
      <c r="E14" s="42"/>
      <c r="F14" s="42"/>
      <c r="G14" s="2"/>
      <c r="H14" s="43" t="s">
        <v>121</v>
      </c>
      <c r="I14" s="43"/>
    </row>
    <row r="15" spans="1:9" ht="31.5" customHeight="1" x14ac:dyDescent="0.3">
      <c r="A15" s="16" t="s">
        <v>65</v>
      </c>
      <c r="B15" s="40" t="s">
        <v>122</v>
      </c>
      <c r="C15" s="40"/>
      <c r="D15" s="40"/>
      <c r="E15" s="40"/>
      <c r="F15" s="40"/>
      <c r="G15" s="4"/>
      <c r="H15" s="41" t="s">
        <v>123</v>
      </c>
      <c r="I15" s="41"/>
    </row>
    <row r="16" spans="1:9" ht="31.5" customHeight="1" x14ac:dyDescent="0.3">
      <c r="A16" s="15" t="s">
        <v>68</v>
      </c>
      <c r="B16" s="42" t="s">
        <v>124</v>
      </c>
      <c r="C16" s="42"/>
      <c r="D16" s="42"/>
      <c r="E16" s="42"/>
      <c r="F16" s="42"/>
      <c r="G16" s="2"/>
      <c r="H16" s="43" t="s">
        <v>125</v>
      </c>
      <c r="I16" s="43"/>
    </row>
  </sheetData>
  <mergeCells count="15">
    <mergeCell ref="A1:I1"/>
    <mergeCell ref="A2:I2"/>
    <mergeCell ref="A10:I10"/>
    <mergeCell ref="B11:F11"/>
    <mergeCell ref="H11:I11"/>
    <mergeCell ref="B15:F15"/>
    <mergeCell ref="H15:I15"/>
    <mergeCell ref="B16:F16"/>
    <mergeCell ref="H16:I16"/>
    <mergeCell ref="B12:F12"/>
    <mergeCell ref="H12:I12"/>
    <mergeCell ref="B13:F13"/>
    <mergeCell ref="H13:I13"/>
    <mergeCell ref="B14:F14"/>
    <mergeCell ref="H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showGridLines="0" zoomScaleNormal="100" workbookViewId="0">
      <selection activeCell="D12" sqref="D12:D16"/>
    </sheetView>
  </sheetViews>
  <sheetFormatPr defaultColWidth="8.6640625" defaultRowHeight="14.4" x14ac:dyDescent="0.3"/>
  <cols>
    <col min="1" max="1" width="22" customWidth="1"/>
    <col min="2" max="2" width="44.6640625" customWidth="1"/>
    <col min="3" max="3" width="41.33203125" customWidth="1"/>
    <col min="4" max="4" width="32.44140625" customWidth="1"/>
    <col min="5" max="5" width="42" customWidth="1"/>
    <col min="6" max="6" width="22.5546875" customWidth="1"/>
  </cols>
  <sheetData>
    <row r="1" spans="1:6" ht="21.75" customHeight="1" x14ac:dyDescent="0.3">
      <c r="A1" s="46" t="s">
        <v>126</v>
      </c>
      <c r="B1" s="46"/>
      <c r="C1" s="46"/>
      <c r="D1" s="46"/>
      <c r="E1" s="46"/>
      <c r="F1" s="46"/>
    </row>
    <row r="2" spans="1:6" ht="19.5" customHeight="1" x14ac:dyDescent="0.3">
      <c r="A2" s="47" t="s">
        <v>127</v>
      </c>
      <c r="B2" s="47"/>
      <c r="C2" s="47"/>
      <c r="D2" s="47"/>
      <c r="E2" s="47"/>
      <c r="F2" s="47"/>
    </row>
    <row r="3" spans="1:6" ht="27.75" customHeight="1" x14ac:dyDescent="0.3">
      <c r="A3" s="6" t="s">
        <v>128</v>
      </c>
      <c r="B3" s="6" t="s">
        <v>129</v>
      </c>
      <c r="C3" s="6" t="s">
        <v>130</v>
      </c>
      <c r="D3" s="6" t="s">
        <v>131</v>
      </c>
      <c r="E3" s="6" t="s">
        <v>132</v>
      </c>
      <c r="F3" s="6" t="s">
        <v>133</v>
      </c>
    </row>
    <row r="4" spans="1:6" ht="18" customHeight="1" x14ac:dyDescent="0.3">
      <c r="A4" s="12" t="s">
        <v>134</v>
      </c>
      <c r="B4" s="3" t="s">
        <v>135</v>
      </c>
      <c r="C4" s="3" t="s">
        <v>136</v>
      </c>
      <c r="D4" s="3" t="s">
        <v>137</v>
      </c>
      <c r="E4" s="3" t="s">
        <v>138</v>
      </c>
      <c r="F4" s="3" t="s">
        <v>139</v>
      </c>
    </row>
    <row r="5" spans="1:6" ht="18" customHeight="1" x14ac:dyDescent="0.3">
      <c r="A5" s="11" t="s">
        <v>140</v>
      </c>
      <c r="B5" s="1" t="s">
        <v>141</v>
      </c>
      <c r="C5" s="1" t="s">
        <v>142</v>
      </c>
      <c r="D5" s="1" t="s">
        <v>137</v>
      </c>
      <c r="E5" s="1" t="s">
        <v>143</v>
      </c>
      <c r="F5" s="1" t="s">
        <v>144</v>
      </c>
    </row>
    <row r="6" spans="1:6" ht="18" customHeight="1" x14ac:dyDescent="0.3">
      <c r="A6" s="12" t="s">
        <v>145</v>
      </c>
      <c r="B6" s="3" t="s">
        <v>146</v>
      </c>
      <c r="C6" s="3" t="s">
        <v>147</v>
      </c>
      <c r="D6" s="3" t="s">
        <v>148</v>
      </c>
      <c r="E6" s="3" t="s">
        <v>149</v>
      </c>
      <c r="F6" s="3" t="s">
        <v>150</v>
      </c>
    </row>
    <row r="8" spans="1:6" ht="19.5" customHeight="1" x14ac:dyDescent="0.3">
      <c r="A8" s="47" t="s">
        <v>151</v>
      </c>
      <c r="B8" s="47"/>
      <c r="C8" s="47"/>
      <c r="D8" s="47"/>
      <c r="E8" s="47"/>
      <c r="F8" s="47"/>
    </row>
    <row r="9" spans="1:6" ht="27.75" customHeight="1" x14ac:dyDescent="0.3">
      <c r="A9" s="6" t="s">
        <v>152</v>
      </c>
      <c r="B9" s="6" t="s">
        <v>153</v>
      </c>
      <c r="C9" s="6" t="s">
        <v>154</v>
      </c>
      <c r="D9" s="6" t="s">
        <v>155</v>
      </c>
      <c r="E9" s="6" t="s">
        <v>156</v>
      </c>
      <c r="F9" s="6"/>
    </row>
    <row r="10" spans="1:6" ht="15.75" customHeight="1" x14ac:dyDescent="0.3">
      <c r="A10" s="12" t="s">
        <v>157</v>
      </c>
      <c r="B10" s="2" t="s">
        <v>158</v>
      </c>
      <c r="C10" s="3" t="s">
        <v>159</v>
      </c>
      <c r="D10" s="3" t="s">
        <v>160</v>
      </c>
      <c r="E10" s="3" t="s">
        <v>161</v>
      </c>
    </row>
    <row r="11" spans="1:6" ht="15.75" customHeight="1" x14ac:dyDescent="0.3">
      <c r="A11" s="11" t="s">
        <v>162</v>
      </c>
      <c r="B11" s="4" t="s">
        <v>163</v>
      </c>
      <c r="C11" s="1" t="s">
        <v>164</v>
      </c>
      <c r="D11" s="1" t="s">
        <v>165</v>
      </c>
      <c r="E11" s="1" t="s">
        <v>166</v>
      </c>
    </row>
    <row r="12" spans="1:6" ht="15.75" customHeight="1" x14ac:dyDescent="0.3">
      <c r="A12" s="12" t="s">
        <v>167</v>
      </c>
      <c r="B12" s="2" t="s">
        <v>168</v>
      </c>
      <c r="C12" s="3" t="s">
        <v>169</v>
      </c>
      <c r="D12" s="3" t="s">
        <v>170</v>
      </c>
      <c r="E12" s="3" t="s">
        <v>171</v>
      </c>
    </row>
    <row r="13" spans="1:6" ht="15.75" customHeight="1" x14ac:dyDescent="0.3">
      <c r="A13" s="11" t="s">
        <v>172</v>
      </c>
      <c r="B13" s="4" t="s">
        <v>168</v>
      </c>
      <c r="C13" s="1" t="s">
        <v>169</v>
      </c>
      <c r="D13" s="1" t="s">
        <v>173</v>
      </c>
      <c r="E13" s="1" t="s">
        <v>174</v>
      </c>
    </row>
    <row r="14" spans="1:6" ht="15.75" customHeight="1" x14ac:dyDescent="0.3">
      <c r="A14" s="12" t="s">
        <v>175</v>
      </c>
      <c r="B14" s="2" t="s">
        <v>168</v>
      </c>
      <c r="C14" s="3" t="s">
        <v>169</v>
      </c>
      <c r="D14" s="3" t="s">
        <v>176</v>
      </c>
      <c r="E14" s="3" t="s">
        <v>177</v>
      </c>
    </row>
    <row r="15" spans="1:6" ht="15.75" customHeight="1" x14ac:dyDescent="0.3">
      <c r="A15" s="11" t="s">
        <v>178</v>
      </c>
      <c r="B15" s="4" t="s">
        <v>179</v>
      </c>
      <c r="C15" s="1" t="s">
        <v>180</v>
      </c>
      <c r="D15" s="1" t="s">
        <v>181</v>
      </c>
      <c r="E15" s="1" t="s">
        <v>182</v>
      </c>
    </row>
    <row r="16" spans="1:6" ht="15.75" customHeight="1" x14ac:dyDescent="0.3">
      <c r="A16" s="12" t="s">
        <v>183</v>
      </c>
      <c r="B16" s="2" t="s">
        <v>184</v>
      </c>
      <c r="C16" s="3" t="s">
        <v>185</v>
      </c>
      <c r="D16" s="3" t="s">
        <v>186</v>
      </c>
      <c r="E16" s="3" t="s">
        <v>187</v>
      </c>
    </row>
    <row r="17" spans="1:6" ht="15.75" customHeight="1" x14ac:dyDescent="0.3">
      <c r="A17" s="11" t="s">
        <v>188</v>
      </c>
      <c r="B17" s="4" t="s">
        <v>189</v>
      </c>
      <c r="C17" s="1" t="s">
        <v>137</v>
      </c>
      <c r="D17" s="1" t="s">
        <v>190</v>
      </c>
      <c r="E17" s="1" t="s">
        <v>191</v>
      </c>
    </row>
    <row r="19" spans="1:6" ht="19.5" customHeight="1" x14ac:dyDescent="0.3">
      <c r="A19" s="47" t="s">
        <v>192</v>
      </c>
      <c r="B19" s="47"/>
      <c r="C19" s="47"/>
      <c r="D19" s="47"/>
      <c r="E19" s="47"/>
      <c r="F19" s="47"/>
    </row>
    <row r="20" spans="1:6" ht="27.75" customHeight="1" x14ac:dyDescent="0.3">
      <c r="A20" s="6" t="s">
        <v>128</v>
      </c>
      <c r="B20" s="6" t="s">
        <v>193</v>
      </c>
      <c r="C20" s="6" t="s">
        <v>194</v>
      </c>
      <c r="D20" s="6" t="s">
        <v>195</v>
      </c>
      <c r="E20" s="6" t="s">
        <v>196</v>
      </c>
      <c r="F20" s="6"/>
    </row>
    <row r="21" spans="1:6" ht="15.75" customHeight="1" x14ac:dyDescent="0.3">
      <c r="A21" s="20" t="s">
        <v>134</v>
      </c>
      <c r="B21" s="3" t="s">
        <v>197</v>
      </c>
      <c r="C21" s="3" t="s">
        <v>198</v>
      </c>
      <c r="D21" s="3" t="s">
        <v>199</v>
      </c>
      <c r="E21" s="3" t="s">
        <v>200</v>
      </c>
    </row>
    <row r="22" spans="1:6" ht="15.75" customHeight="1" x14ac:dyDescent="0.3">
      <c r="A22" s="21" t="s">
        <v>140</v>
      </c>
      <c r="B22" s="1" t="s">
        <v>201</v>
      </c>
      <c r="C22" s="1" t="s">
        <v>202</v>
      </c>
      <c r="D22" s="1" t="s">
        <v>203</v>
      </c>
      <c r="E22" s="1" t="s">
        <v>204</v>
      </c>
    </row>
    <row r="23" spans="1:6" ht="15.75" customHeight="1" x14ac:dyDescent="0.3">
      <c r="A23" s="20" t="s">
        <v>145</v>
      </c>
      <c r="B23" s="3" t="s">
        <v>205</v>
      </c>
      <c r="C23" s="3" t="s">
        <v>206</v>
      </c>
      <c r="D23" s="3" t="s">
        <v>207</v>
      </c>
      <c r="E23" s="3" t="s">
        <v>208</v>
      </c>
    </row>
  </sheetData>
  <mergeCells count="4">
    <mergeCell ref="A1:F1"/>
    <mergeCell ref="A2:F2"/>
    <mergeCell ref="A8:F8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showGridLines="0" topLeftCell="C1" zoomScaleNormal="100" workbookViewId="0">
      <selection activeCell="G3" activeCellId="2" sqref="A3:B11 E3:E11 G3:G11"/>
    </sheetView>
  </sheetViews>
  <sheetFormatPr defaultColWidth="8.6640625" defaultRowHeight="14.4" x14ac:dyDescent="0.3"/>
  <cols>
    <col min="1" max="1" width="46.5546875" customWidth="1"/>
    <col min="2" max="3" width="15" customWidth="1"/>
    <col min="4" max="4" width="44.33203125" customWidth="1"/>
    <col min="5" max="5" width="28" customWidth="1"/>
    <col min="6" max="6" width="36" customWidth="1"/>
    <col min="7" max="7" width="39.44140625" customWidth="1"/>
    <col min="8" max="8" width="30" customWidth="1"/>
  </cols>
  <sheetData>
    <row r="1" spans="1:7" ht="21.75" customHeight="1" x14ac:dyDescent="0.3">
      <c r="A1" s="46" t="s">
        <v>209</v>
      </c>
      <c r="B1" s="46"/>
      <c r="C1" s="46"/>
      <c r="D1" s="46"/>
      <c r="E1" s="46"/>
      <c r="F1" s="46"/>
      <c r="G1" s="46"/>
    </row>
    <row r="2" spans="1:7" ht="19.5" customHeight="1" x14ac:dyDescent="0.3">
      <c r="A2" s="48" t="s">
        <v>210</v>
      </c>
      <c r="B2" s="48"/>
      <c r="C2" s="48"/>
      <c r="D2" s="48"/>
      <c r="E2" s="48"/>
      <c r="F2" s="48"/>
      <c r="G2" s="48"/>
    </row>
    <row r="3" spans="1:7" ht="27.75" customHeight="1" x14ac:dyDescent="0.3">
      <c r="A3" s="6" t="s">
        <v>2</v>
      </c>
      <c r="B3" s="6" t="s">
        <v>211</v>
      </c>
      <c r="C3" s="6" t="s">
        <v>212</v>
      </c>
      <c r="D3" s="6" t="s">
        <v>213</v>
      </c>
      <c r="E3" s="6" t="s">
        <v>214</v>
      </c>
      <c r="F3" s="6" t="s">
        <v>215</v>
      </c>
      <c r="G3" s="6" t="s">
        <v>156</v>
      </c>
    </row>
    <row r="4" spans="1:7" ht="30" customHeight="1" x14ac:dyDescent="0.3">
      <c r="A4" s="14" t="s">
        <v>39</v>
      </c>
      <c r="B4" s="3" t="s">
        <v>216</v>
      </c>
      <c r="C4" s="3" t="s">
        <v>217</v>
      </c>
      <c r="D4" s="2" t="s">
        <v>218</v>
      </c>
      <c r="E4" s="3" t="s">
        <v>219</v>
      </c>
      <c r="F4" s="3" t="s">
        <v>220</v>
      </c>
      <c r="G4" s="3" t="s">
        <v>221</v>
      </c>
    </row>
    <row r="5" spans="1:7" ht="30" customHeight="1" x14ac:dyDescent="0.3">
      <c r="A5" s="13" t="s">
        <v>39</v>
      </c>
      <c r="B5" s="1" t="s">
        <v>222</v>
      </c>
      <c r="C5" s="1" t="s">
        <v>217</v>
      </c>
      <c r="D5" s="4" t="s">
        <v>223</v>
      </c>
      <c r="E5" s="1" t="s">
        <v>219</v>
      </c>
      <c r="F5" s="1" t="s">
        <v>224</v>
      </c>
      <c r="G5" s="1" t="s">
        <v>225</v>
      </c>
    </row>
    <row r="6" spans="1:7" ht="30" customHeight="1" x14ac:dyDescent="0.3">
      <c r="A6" s="14" t="s">
        <v>44</v>
      </c>
      <c r="B6" s="3" t="s">
        <v>216</v>
      </c>
      <c r="C6" s="3" t="s">
        <v>41</v>
      </c>
      <c r="D6" s="2" t="s">
        <v>226</v>
      </c>
      <c r="E6" s="3" t="s">
        <v>219</v>
      </c>
      <c r="F6" s="3" t="s">
        <v>227</v>
      </c>
      <c r="G6" s="3" t="s">
        <v>228</v>
      </c>
    </row>
    <row r="7" spans="1:7" ht="30" customHeight="1" x14ac:dyDescent="0.3">
      <c r="A7" s="13" t="s">
        <v>44</v>
      </c>
      <c r="B7" s="1" t="s">
        <v>222</v>
      </c>
      <c r="C7" s="1" t="s">
        <v>41</v>
      </c>
      <c r="D7" s="4" t="s">
        <v>229</v>
      </c>
      <c r="E7" s="1" t="s">
        <v>219</v>
      </c>
      <c r="F7" s="1" t="s">
        <v>230</v>
      </c>
      <c r="G7" s="1" t="s">
        <v>231</v>
      </c>
    </row>
    <row r="8" spans="1:7" ht="30" customHeight="1" x14ac:dyDescent="0.3">
      <c r="A8" s="14" t="s">
        <v>48</v>
      </c>
      <c r="B8" s="3" t="s">
        <v>216</v>
      </c>
      <c r="C8" s="3" t="s">
        <v>41</v>
      </c>
      <c r="D8" s="2" t="s">
        <v>232</v>
      </c>
      <c r="E8" s="3" t="s">
        <v>219</v>
      </c>
      <c r="F8" s="3" t="s">
        <v>233</v>
      </c>
      <c r="G8" s="3" t="s">
        <v>234</v>
      </c>
    </row>
    <row r="9" spans="1:7" ht="30" customHeight="1" x14ac:dyDescent="0.3">
      <c r="A9" s="13" t="s">
        <v>48</v>
      </c>
      <c r="B9" s="1" t="s">
        <v>222</v>
      </c>
      <c r="C9" s="1" t="s">
        <v>41</v>
      </c>
      <c r="D9" s="4" t="s">
        <v>235</v>
      </c>
      <c r="E9" s="1" t="s">
        <v>219</v>
      </c>
      <c r="F9" s="1" t="s">
        <v>236</v>
      </c>
      <c r="G9" s="1" t="s">
        <v>237</v>
      </c>
    </row>
    <row r="10" spans="1:7" ht="30" customHeight="1" x14ac:dyDescent="0.3">
      <c r="A10" s="14" t="s">
        <v>51</v>
      </c>
      <c r="B10" s="3" t="s">
        <v>222</v>
      </c>
      <c r="C10" s="3" t="s">
        <v>52</v>
      </c>
      <c r="D10" s="2" t="s">
        <v>238</v>
      </c>
      <c r="E10" s="3" t="s">
        <v>219</v>
      </c>
      <c r="F10" s="3" t="s">
        <v>239</v>
      </c>
      <c r="G10" s="3" t="s">
        <v>240</v>
      </c>
    </row>
    <row r="11" spans="1:7" ht="30" customHeight="1" x14ac:dyDescent="0.3">
      <c r="A11" s="13" t="s">
        <v>51</v>
      </c>
      <c r="B11" s="1" t="s">
        <v>216</v>
      </c>
      <c r="C11" s="1" t="s">
        <v>52</v>
      </c>
      <c r="D11" s="4" t="s">
        <v>241</v>
      </c>
      <c r="E11" s="1" t="s">
        <v>219</v>
      </c>
      <c r="F11" s="1" t="s">
        <v>242</v>
      </c>
      <c r="G11" s="1" t="s">
        <v>243</v>
      </c>
    </row>
    <row r="12" spans="1:7" ht="22.8" x14ac:dyDescent="0.3">
      <c r="D12" s="2" t="s">
        <v>244</v>
      </c>
    </row>
    <row r="13" spans="1:7" ht="19.5" customHeight="1" x14ac:dyDescent="0.3">
      <c r="A13" s="5" t="s">
        <v>245</v>
      </c>
      <c r="D13" s="4" t="s">
        <v>246</v>
      </c>
    </row>
    <row r="14" spans="1:7" ht="27.75" customHeight="1" x14ac:dyDescent="0.3">
      <c r="A14" s="6" t="s">
        <v>48</v>
      </c>
      <c r="B14" s="6" t="s">
        <v>247</v>
      </c>
      <c r="C14" s="6" t="s">
        <v>248</v>
      </c>
      <c r="D14" s="6" t="s">
        <v>78</v>
      </c>
      <c r="E14" s="6" t="s">
        <v>79</v>
      </c>
      <c r="F14" s="6" t="s">
        <v>51</v>
      </c>
      <c r="G14" s="6" t="s">
        <v>44</v>
      </c>
    </row>
    <row r="15" spans="1:7" ht="15.75" customHeight="1" x14ac:dyDescent="0.3">
      <c r="A15" s="8" t="s">
        <v>249</v>
      </c>
      <c r="B15" s="3" t="s">
        <v>250</v>
      </c>
      <c r="C15" s="3" t="s">
        <v>251</v>
      </c>
      <c r="D15" s="3" t="s">
        <v>252</v>
      </c>
      <c r="E15" s="3" t="s">
        <v>253</v>
      </c>
      <c r="F15" s="8" t="s">
        <v>254</v>
      </c>
      <c r="G15" s="8" t="s">
        <v>230</v>
      </c>
    </row>
    <row r="16" spans="1:7" ht="15.75" customHeight="1" x14ac:dyDescent="0.3">
      <c r="A16" s="10" t="s">
        <v>255</v>
      </c>
      <c r="B16" s="1" t="s">
        <v>251</v>
      </c>
      <c r="C16" s="1" t="s">
        <v>256</v>
      </c>
      <c r="D16" s="1" t="s">
        <v>257</v>
      </c>
      <c r="E16" s="1" t="s">
        <v>258</v>
      </c>
      <c r="F16" s="10" t="s">
        <v>259</v>
      </c>
      <c r="G16" s="10" t="s">
        <v>230</v>
      </c>
    </row>
    <row r="17" spans="1:7" ht="15.75" customHeight="1" x14ac:dyDescent="0.3">
      <c r="A17" s="8" t="s">
        <v>260</v>
      </c>
      <c r="B17" s="3" t="s">
        <v>256</v>
      </c>
      <c r="C17" s="3" t="s">
        <v>250</v>
      </c>
      <c r="D17" s="3" t="s">
        <v>261</v>
      </c>
      <c r="E17" s="3" t="s">
        <v>262</v>
      </c>
      <c r="F17" s="8" t="s">
        <v>263</v>
      </c>
      <c r="G17" s="8" t="s">
        <v>230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28" customWidth="1"/>
    <col min="2" max="2" width="31.21875" customWidth="1"/>
    <col min="3" max="3" width="25.5546875" customWidth="1"/>
    <col min="4" max="4" width="24" customWidth="1"/>
    <col min="5" max="5" width="42.44140625" customWidth="1"/>
    <col min="6" max="6" width="40.109375" customWidth="1"/>
  </cols>
  <sheetData>
    <row r="1" spans="1:6" ht="21.75" customHeight="1" x14ac:dyDescent="0.3">
      <c r="A1" s="46" t="s">
        <v>264</v>
      </c>
      <c r="B1" s="46"/>
      <c r="C1" s="46"/>
      <c r="D1" s="46"/>
      <c r="E1" s="46"/>
      <c r="F1" s="46"/>
    </row>
    <row r="2" spans="1:6" ht="19.5" customHeight="1" x14ac:dyDescent="0.3">
      <c r="A2" s="55" t="s">
        <v>153</v>
      </c>
      <c r="B2" s="55"/>
      <c r="C2" s="55"/>
      <c r="D2" s="55"/>
      <c r="E2" s="55"/>
      <c r="F2" s="55"/>
    </row>
    <row r="3" spans="1:6" ht="27.75" customHeight="1" x14ac:dyDescent="0.3">
      <c r="A3" s="6" t="s">
        <v>152</v>
      </c>
      <c r="B3" s="6" t="s">
        <v>265</v>
      </c>
      <c r="C3" s="6" t="s">
        <v>266</v>
      </c>
      <c r="D3" s="6" t="s">
        <v>267</v>
      </c>
      <c r="E3" s="6" t="s">
        <v>268</v>
      </c>
      <c r="F3" s="6" t="s">
        <v>156</v>
      </c>
    </row>
    <row r="4" spans="1:6" ht="18" customHeight="1" x14ac:dyDescent="0.3">
      <c r="A4" s="17" t="s">
        <v>269</v>
      </c>
      <c r="B4" s="3" t="s">
        <v>270</v>
      </c>
      <c r="C4" s="3" t="s">
        <v>271</v>
      </c>
      <c r="D4" s="3" t="s">
        <v>272</v>
      </c>
      <c r="E4" s="3" t="s">
        <v>273</v>
      </c>
      <c r="F4" s="3" t="s">
        <v>274</v>
      </c>
    </row>
    <row r="5" spans="1:6" ht="18" customHeight="1" x14ac:dyDescent="0.3">
      <c r="A5" s="22" t="s">
        <v>275</v>
      </c>
      <c r="B5" s="1" t="s">
        <v>276</v>
      </c>
      <c r="C5" s="1" t="s">
        <v>277</v>
      </c>
      <c r="D5" s="1" t="s">
        <v>278</v>
      </c>
      <c r="E5" s="1" t="s">
        <v>279</v>
      </c>
      <c r="F5" s="1" t="s">
        <v>280</v>
      </c>
    </row>
    <row r="6" spans="1:6" ht="18" customHeight="1" x14ac:dyDescent="0.3">
      <c r="A6" s="17" t="s">
        <v>281</v>
      </c>
      <c r="B6" s="3" t="s">
        <v>282</v>
      </c>
      <c r="C6" s="3" t="s">
        <v>283</v>
      </c>
      <c r="D6" s="3" t="s">
        <v>284</v>
      </c>
      <c r="E6" s="3" t="s">
        <v>285</v>
      </c>
      <c r="F6" s="3" t="s">
        <v>286</v>
      </c>
    </row>
    <row r="7" spans="1:6" ht="18" customHeight="1" x14ac:dyDescent="0.3">
      <c r="A7" s="22" t="s">
        <v>287</v>
      </c>
      <c r="B7" s="1" t="s">
        <v>137</v>
      </c>
      <c r="C7" s="1" t="s">
        <v>137</v>
      </c>
      <c r="D7" s="1" t="s">
        <v>288</v>
      </c>
      <c r="E7" s="1" t="s">
        <v>289</v>
      </c>
      <c r="F7" s="1" t="s">
        <v>290</v>
      </c>
    </row>
    <row r="8" spans="1:6" ht="18" customHeight="1" x14ac:dyDescent="0.3">
      <c r="A8" s="23" t="s">
        <v>71</v>
      </c>
      <c r="B8" s="24" t="s">
        <v>291</v>
      </c>
      <c r="C8" s="24" t="s">
        <v>292</v>
      </c>
      <c r="D8" s="24" t="s">
        <v>293</v>
      </c>
      <c r="E8" s="24" t="s">
        <v>294</v>
      </c>
      <c r="F8" s="24" t="s">
        <v>295</v>
      </c>
    </row>
    <row r="10" spans="1:6" ht="19.5" customHeight="1" x14ac:dyDescent="0.3">
      <c r="A10" s="45" t="s">
        <v>296</v>
      </c>
      <c r="B10" s="45"/>
      <c r="C10" s="45"/>
      <c r="D10" s="45"/>
      <c r="E10" s="45"/>
      <c r="F10" s="45"/>
    </row>
    <row r="11" spans="1:6" ht="24" customHeight="1" x14ac:dyDescent="0.3">
      <c r="A11" s="56" t="s">
        <v>297</v>
      </c>
      <c r="B11" s="56"/>
      <c r="C11" s="56"/>
      <c r="D11" s="56"/>
      <c r="E11" s="56"/>
      <c r="F11" s="56"/>
    </row>
    <row r="12" spans="1:6" ht="24" customHeight="1" x14ac:dyDescent="0.3">
      <c r="A12" s="56" t="s">
        <v>298</v>
      </c>
      <c r="B12" s="56"/>
      <c r="C12" s="56"/>
      <c r="D12" s="56"/>
      <c r="E12" s="56"/>
      <c r="F12" s="56"/>
    </row>
    <row r="14" spans="1:6" ht="19.5" customHeight="1" x14ac:dyDescent="0.3">
      <c r="A14" s="45" t="s">
        <v>299</v>
      </c>
      <c r="B14" s="45"/>
      <c r="C14" s="45"/>
      <c r="D14" s="45"/>
      <c r="E14" s="45"/>
      <c r="F14" s="45"/>
    </row>
    <row r="15" spans="1:6" ht="27.75" customHeight="1" x14ac:dyDescent="0.3">
      <c r="A15" s="6" t="s">
        <v>300</v>
      </c>
      <c r="B15" s="6" t="s">
        <v>301</v>
      </c>
      <c r="C15" s="6" t="s">
        <v>302</v>
      </c>
      <c r="D15" s="6"/>
      <c r="E15" s="6"/>
      <c r="F15" s="6"/>
    </row>
    <row r="16" spans="1:6" ht="18" customHeight="1" x14ac:dyDescent="0.3">
      <c r="A16" s="25" t="s">
        <v>303</v>
      </c>
      <c r="B16" s="26" t="s">
        <v>304</v>
      </c>
      <c r="C16" s="51" t="s">
        <v>305</v>
      </c>
      <c r="D16" s="51"/>
      <c r="E16" s="51"/>
      <c r="F16" s="51"/>
    </row>
    <row r="17" spans="1:6" ht="18" customHeight="1" x14ac:dyDescent="0.3">
      <c r="A17" s="27" t="s">
        <v>306</v>
      </c>
      <c r="B17" s="28" t="s">
        <v>307</v>
      </c>
      <c r="C17" s="52" t="s">
        <v>308</v>
      </c>
      <c r="D17" s="52"/>
      <c r="E17" s="52"/>
      <c r="F17" s="52"/>
    </row>
    <row r="18" spans="1:6" ht="18" customHeight="1" x14ac:dyDescent="0.3">
      <c r="A18" s="29" t="s">
        <v>309</v>
      </c>
      <c r="B18" s="30" t="s">
        <v>310</v>
      </c>
      <c r="C18" s="53" t="s">
        <v>311</v>
      </c>
      <c r="D18" s="53"/>
      <c r="E18" s="53"/>
      <c r="F18" s="53"/>
    </row>
    <row r="19" spans="1:6" ht="18" customHeight="1" x14ac:dyDescent="0.3">
      <c r="A19" s="31" t="s">
        <v>312</v>
      </c>
      <c r="B19" s="32" t="s">
        <v>313</v>
      </c>
      <c r="C19" s="54" t="s">
        <v>314</v>
      </c>
      <c r="D19" s="54"/>
      <c r="E19" s="54"/>
      <c r="F19" s="54"/>
    </row>
    <row r="20" spans="1:6" ht="18" customHeight="1" x14ac:dyDescent="0.3">
      <c r="A20" s="33" t="s">
        <v>315</v>
      </c>
      <c r="B20" s="34" t="s">
        <v>316</v>
      </c>
      <c r="C20" s="49" t="s">
        <v>317</v>
      </c>
      <c r="D20" s="49"/>
      <c r="E20" s="49"/>
      <c r="F20" s="49"/>
    </row>
    <row r="22" spans="1:6" ht="19.5" customHeight="1" x14ac:dyDescent="0.3">
      <c r="A22" s="50" t="s">
        <v>318</v>
      </c>
      <c r="B22" s="50"/>
      <c r="C22" s="50"/>
      <c r="D22" s="50"/>
      <c r="E22" s="50"/>
      <c r="F22" s="50"/>
    </row>
    <row r="23" spans="1:6" ht="27.75" customHeight="1" x14ac:dyDescent="0.3">
      <c r="A23" s="6" t="s">
        <v>319</v>
      </c>
      <c r="B23" s="6" t="s">
        <v>272</v>
      </c>
      <c r="C23" s="6" t="s">
        <v>320</v>
      </c>
      <c r="D23" s="6" t="s">
        <v>284</v>
      </c>
      <c r="E23" s="6" t="s">
        <v>71</v>
      </c>
      <c r="F23" s="6" t="s">
        <v>321</v>
      </c>
    </row>
    <row r="24" spans="1:6" ht="18" customHeight="1" x14ac:dyDescent="0.3">
      <c r="A24" s="3" t="s">
        <v>322</v>
      </c>
      <c r="B24" s="8" t="s">
        <v>323</v>
      </c>
      <c r="C24" s="8" t="s">
        <v>324</v>
      </c>
      <c r="D24" s="8" t="s">
        <v>325</v>
      </c>
      <c r="E24" s="2" t="s">
        <v>326</v>
      </c>
      <c r="F24" s="8" t="s">
        <v>327</v>
      </c>
    </row>
    <row r="25" spans="1:6" ht="18" customHeight="1" x14ac:dyDescent="0.3">
      <c r="A25" s="1" t="s">
        <v>328</v>
      </c>
      <c r="B25" s="10" t="s">
        <v>329</v>
      </c>
      <c r="C25" s="10" t="s">
        <v>324</v>
      </c>
      <c r="D25" s="10" t="s">
        <v>330</v>
      </c>
      <c r="E25" s="4" t="s">
        <v>331</v>
      </c>
      <c r="F25" s="10" t="s">
        <v>327</v>
      </c>
    </row>
    <row r="26" spans="1:6" ht="18" customHeight="1" x14ac:dyDescent="0.3">
      <c r="A26" s="3" t="s">
        <v>332</v>
      </c>
      <c r="B26" s="8" t="s">
        <v>333</v>
      </c>
      <c r="C26" s="8" t="s">
        <v>334</v>
      </c>
      <c r="D26" s="8" t="s">
        <v>335</v>
      </c>
      <c r="E26" s="2" t="s">
        <v>336</v>
      </c>
      <c r="F26" s="8" t="s">
        <v>337</v>
      </c>
    </row>
    <row r="27" spans="1:6" ht="18" customHeight="1" x14ac:dyDescent="0.3">
      <c r="A27" s="1" t="s">
        <v>338</v>
      </c>
      <c r="B27" s="10" t="s">
        <v>339</v>
      </c>
      <c r="C27" s="10" t="s">
        <v>334</v>
      </c>
      <c r="D27" s="10" t="s">
        <v>340</v>
      </c>
      <c r="E27" s="4" t="s">
        <v>341</v>
      </c>
      <c r="F27" s="10" t="s">
        <v>337</v>
      </c>
    </row>
    <row r="28" spans="1:6" ht="18" customHeight="1" x14ac:dyDescent="0.3">
      <c r="A28" s="3" t="s">
        <v>342</v>
      </c>
      <c r="B28" s="8" t="s">
        <v>343</v>
      </c>
      <c r="C28" s="8" t="s">
        <v>334</v>
      </c>
      <c r="D28" s="8" t="s">
        <v>344</v>
      </c>
      <c r="E28" s="2" t="s">
        <v>345</v>
      </c>
      <c r="F28" s="8" t="s">
        <v>346</v>
      </c>
    </row>
  </sheetData>
  <mergeCells count="12">
    <mergeCell ref="A1:F1"/>
    <mergeCell ref="A2:F2"/>
    <mergeCell ref="A10:F10"/>
    <mergeCell ref="A11:F11"/>
    <mergeCell ref="A12:F12"/>
    <mergeCell ref="C20:F20"/>
    <mergeCell ref="A22:F22"/>
    <mergeCell ref="A14:F14"/>
    <mergeCell ref="C16:F16"/>
    <mergeCell ref="C17:F17"/>
    <mergeCell ref="C18:F18"/>
    <mergeCell ref="C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22" customWidth="1"/>
    <col min="2" max="2" width="36" customWidth="1"/>
    <col min="3" max="3" width="18" customWidth="1"/>
    <col min="4" max="4" width="14" customWidth="1"/>
    <col min="5" max="5" width="38" customWidth="1"/>
    <col min="6" max="6" width="27.5546875" customWidth="1"/>
  </cols>
  <sheetData>
    <row r="1" spans="1:6" ht="21.75" customHeight="1" x14ac:dyDescent="0.3">
      <c r="A1" s="46" t="s">
        <v>347</v>
      </c>
      <c r="B1" s="46"/>
      <c r="C1" s="46"/>
      <c r="D1" s="46"/>
      <c r="E1" s="46"/>
      <c r="F1" s="46"/>
    </row>
    <row r="2" spans="1:6" ht="19.5" customHeight="1" x14ac:dyDescent="0.3">
      <c r="A2" s="59" t="s">
        <v>348</v>
      </c>
      <c r="B2" s="59"/>
      <c r="C2" s="59"/>
      <c r="D2" s="59"/>
      <c r="E2" s="59"/>
      <c r="F2" s="59"/>
    </row>
    <row r="3" spans="1:6" ht="27.75" customHeight="1" x14ac:dyDescent="0.3">
      <c r="A3" s="6" t="s">
        <v>349</v>
      </c>
      <c r="B3" s="6" t="s">
        <v>350</v>
      </c>
      <c r="C3" s="6" t="s">
        <v>351</v>
      </c>
      <c r="D3" s="6" t="s">
        <v>352</v>
      </c>
      <c r="E3" s="6" t="s">
        <v>353</v>
      </c>
      <c r="F3" s="6" t="s">
        <v>354</v>
      </c>
    </row>
    <row r="4" spans="1:6" ht="15.75" customHeight="1" x14ac:dyDescent="0.3">
      <c r="A4" s="7" t="s">
        <v>9</v>
      </c>
      <c r="B4" s="3" t="s">
        <v>355</v>
      </c>
      <c r="C4" s="3" t="s">
        <v>356</v>
      </c>
      <c r="D4" s="3" t="s">
        <v>357</v>
      </c>
      <c r="E4" s="3" t="s">
        <v>358</v>
      </c>
      <c r="F4" s="3" t="s">
        <v>359</v>
      </c>
    </row>
    <row r="5" spans="1:6" ht="15.75" customHeight="1" x14ac:dyDescent="0.3">
      <c r="A5" s="9" t="s">
        <v>16</v>
      </c>
      <c r="B5" s="1" t="s">
        <v>360</v>
      </c>
      <c r="C5" s="1" t="s">
        <v>361</v>
      </c>
      <c r="D5" s="1" t="s">
        <v>362</v>
      </c>
      <c r="E5" s="1" t="s">
        <v>363</v>
      </c>
      <c r="F5" s="1" t="s">
        <v>364</v>
      </c>
    </row>
    <row r="6" spans="1:6" ht="15.75" customHeight="1" x14ac:dyDescent="0.3">
      <c r="A6" s="7" t="s">
        <v>19</v>
      </c>
      <c r="B6" s="3" t="s">
        <v>365</v>
      </c>
      <c r="C6" s="3" t="s">
        <v>361</v>
      </c>
      <c r="D6" s="3" t="s">
        <v>362</v>
      </c>
      <c r="E6" s="3" t="s">
        <v>366</v>
      </c>
      <c r="F6" s="3" t="s">
        <v>367</v>
      </c>
    </row>
    <row r="8" spans="1:6" ht="19.5" customHeight="1" x14ac:dyDescent="0.3">
      <c r="A8" s="59" t="s">
        <v>368</v>
      </c>
      <c r="B8" s="59"/>
      <c r="C8" s="59"/>
      <c r="D8" s="59"/>
      <c r="E8" s="59"/>
      <c r="F8" s="59"/>
    </row>
    <row r="9" spans="1:6" ht="15" customHeight="1" x14ac:dyDescent="0.3">
      <c r="A9" s="58" t="s">
        <v>369</v>
      </c>
      <c r="B9" s="58"/>
      <c r="C9" s="58"/>
      <c r="D9" s="58"/>
      <c r="E9" s="58"/>
      <c r="F9" s="58"/>
    </row>
    <row r="10" spans="1:6" ht="15" customHeight="1" x14ac:dyDescent="0.3">
      <c r="A10" s="57" t="s">
        <v>370</v>
      </c>
      <c r="B10" s="57"/>
      <c r="C10" s="57"/>
      <c r="D10" s="57"/>
      <c r="E10" s="57"/>
      <c r="F10" s="57"/>
    </row>
    <row r="11" spans="1:6" ht="15" customHeight="1" x14ac:dyDescent="0.3">
      <c r="A11" s="58" t="s">
        <v>371</v>
      </c>
      <c r="B11" s="58"/>
      <c r="C11" s="58"/>
      <c r="D11" s="58"/>
      <c r="E11" s="58"/>
      <c r="F11" s="58"/>
    </row>
    <row r="12" spans="1:6" ht="15" customHeight="1" x14ac:dyDescent="0.3">
      <c r="A12" s="57" t="s">
        <v>372</v>
      </c>
      <c r="B12" s="57"/>
      <c r="C12" s="57"/>
      <c r="D12" s="57"/>
      <c r="E12" s="57"/>
      <c r="F12" s="57"/>
    </row>
    <row r="13" spans="1:6" ht="15" customHeight="1" x14ac:dyDescent="0.3">
      <c r="A13" s="58" t="s">
        <v>373</v>
      </c>
      <c r="B13" s="58"/>
      <c r="C13" s="58"/>
      <c r="D13" s="58"/>
      <c r="E13" s="58"/>
      <c r="F13" s="58"/>
    </row>
    <row r="14" spans="1:6" ht="15" customHeight="1" x14ac:dyDescent="0.3">
      <c r="A14" s="57" t="s">
        <v>374</v>
      </c>
      <c r="B14" s="57"/>
      <c r="C14" s="57"/>
      <c r="D14" s="57"/>
      <c r="E14" s="57"/>
      <c r="F14" s="57"/>
    </row>
    <row r="15" spans="1:6" ht="15" customHeight="1" x14ac:dyDescent="0.3">
      <c r="A15" s="58" t="s">
        <v>375</v>
      </c>
      <c r="B15" s="58"/>
      <c r="C15" s="58"/>
      <c r="D15" s="58"/>
      <c r="E15" s="58"/>
      <c r="F15" s="58"/>
    </row>
    <row r="16" spans="1:6" ht="15" customHeight="1" x14ac:dyDescent="0.3">
      <c r="A16" s="57" t="s">
        <v>376</v>
      </c>
      <c r="B16" s="57"/>
      <c r="C16" s="57"/>
      <c r="D16" s="57"/>
      <c r="E16" s="57"/>
      <c r="F16" s="57"/>
    </row>
    <row r="17" spans="1:6" ht="15" customHeight="1" x14ac:dyDescent="0.3">
      <c r="A17" s="58" t="s">
        <v>377</v>
      </c>
      <c r="B17" s="58"/>
      <c r="C17" s="58"/>
      <c r="D17" s="58"/>
      <c r="E17" s="58"/>
      <c r="F17" s="58"/>
    </row>
    <row r="18" spans="1:6" ht="15" customHeight="1" x14ac:dyDescent="0.3">
      <c r="A18" s="57" t="s">
        <v>378</v>
      </c>
      <c r="B18" s="57"/>
      <c r="C18" s="57"/>
      <c r="D18" s="57"/>
      <c r="E18" s="57"/>
      <c r="F18" s="57"/>
    </row>
    <row r="20" spans="1:6" ht="19.5" customHeight="1" x14ac:dyDescent="0.3">
      <c r="A20" s="45" t="s">
        <v>379</v>
      </c>
      <c r="B20" s="45"/>
      <c r="C20" s="45"/>
      <c r="D20" s="45"/>
      <c r="E20" s="45"/>
      <c r="F20" s="45"/>
    </row>
    <row r="21" spans="1:6" ht="27.75" customHeight="1" x14ac:dyDescent="0.3">
      <c r="A21" s="6" t="s">
        <v>349</v>
      </c>
      <c r="B21" s="6" t="s">
        <v>380</v>
      </c>
      <c r="C21" s="6" t="s">
        <v>381</v>
      </c>
      <c r="D21" s="6" t="s">
        <v>382</v>
      </c>
      <c r="E21" s="6"/>
      <c r="F21" s="6"/>
    </row>
    <row r="22" spans="1:6" ht="18" customHeight="1" x14ac:dyDescent="0.3">
      <c r="A22" s="7" t="s">
        <v>9</v>
      </c>
      <c r="B22" s="3" t="s">
        <v>383</v>
      </c>
      <c r="C22" s="3" t="s">
        <v>384</v>
      </c>
      <c r="D22" s="41" t="s">
        <v>385</v>
      </c>
      <c r="E22" s="41"/>
      <c r="F22" s="41"/>
    </row>
    <row r="23" spans="1:6" ht="18" customHeight="1" x14ac:dyDescent="0.3">
      <c r="A23" s="9" t="s">
        <v>16</v>
      </c>
      <c r="B23" s="1" t="s">
        <v>386</v>
      </c>
      <c r="C23" s="1" t="s">
        <v>387</v>
      </c>
      <c r="D23" s="43" t="s">
        <v>388</v>
      </c>
      <c r="E23" s="43"/>
      <c r="F23" s="43"/>
    </row>
    <row r="24" spans="1:6" ht="18" customHeight="1" x14ac:dyDescent="0.3">
      <c r="A24" s="7" t="s">
        <v>19</v>
      </c>
      <c r="B24" s="3" t="s">
        <v>389</v>
      </c>
      <c r="C24" s="3" t="s">
        <v>390</v>
      </c>
      <c r="D24" s="41" t="s">
        <v>391</v>
      </c>
      <c r="E24" s="41"/>
      <c r="F24" s="41"/>
    </row>
  </sheetData>
  <mergeCells count="17">
    <mergeCell ref="A1:F1"/>
    <mergeCell ref="A2:F2"/>
    <mergeCell ref="A8:F8"/>
    <mergeCell ref="A9:F9"/>
    <mergeCell ref="A10:F10"/>
    <mergeCell ref="A11:F11"/>
    <mergeCell ref="A12:F12"/>
    <mergeCell ref="A13:F13"/>
    <mergeCell ref="A14:F14"/>
    <mergeCell ref="A15:F15"/>
    <mergeCell ref="D23:F23"/>
    <mergeCell ref="D24:F24"/>
    <mergeCell ref="A16:F16"/>
    <mergeCell ref="A17:F17"/>
    <mergeCell ref="A18:F18"/>
    <mergeCell ref="A20:F20"/>
    <mergeCell ref="D22:F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Feature Index</vt:lpstr>
      <vt:lpstr>💰 Running Balance</vt:lpstr>
      <vt:lpstr>🌐 IP Graph Layer</vt:lpstr>
      <vt:lpstr>🔗 Flow Tracing</vt:lpstr>
      <vt:lpstr>🔥 Fraud Intensity Score</vt:lpstr>
      <vt:lpstr>🔗 Shared Identity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917036180999</cp:lastModifiedBy>
  <cp:revision>0</cp:revision>
  <dcterms:created xsi:type="dcterms:W3CDTF">2026-02-25T10:23:29Z</dcterms:created>
  <dcterms:modified xsi:type="dcterms:W3CDTF">2026-02-27T06:19:08Z</dcterms:modified>
  <dc:language>en-US</dc:language>
</cp:coreProperties>
</file>