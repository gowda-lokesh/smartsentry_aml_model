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fc4bd521ffc22738/Desktop/Freelancing/AIGEN/smartsentry_aml_model/outputs/"/>
    </mc:Choice>
  </mc:AlternateContent>
  <xr:revisionPtr revIDLastSave="12" documentId="11_03392111D176A80E62355476585DCE3A87476546" xr6:coauthVersionLast="47" xr6:coauthVersionMax="47" xr10:uidLastSave="{0A4EC925-D510-43BC-9AE7-A20DC749FCD3}"/>
  <bookViews>
    <workbookView xWindow="-108" yWindow="-108" windowWidth="23256" windowHeight="13896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Sheet1!$A$1:$D$66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2" i="1"/>
</calcChain>
</file>

<file path=xl/sharedStrings.xml><?xml version="1.0" encoding="utf-8"?>
<sst xmlns="http://schemas.openxmlformats.org/spreadsheetml/2006/main" count="198" uniqueCount="135">
  <si>
    <t>column_name</t>
  </si>
  <si>
    <t>description</t>
  </si>
  <si>
    <t>is_pk_fk</t>
  </si>
  <si>
    <t>transaction_id</t>
  </si>
  <si>
    <t>PK. Unique transaction identifier. Format: T0, T1, …</t>
  </si>
  <si>
    <t>yes</t>
  </si>
  <si>
    <t>customer_id</t>
  </si>
  <si>
    <t>FK → customers.customer_id. Denormalised for single-key joins.</t>
  </si>
  <si>
    <t>sender_account_id</t>
  </si>
  <si>
    <t>FK → accounts.account_id. Account that initiated the payment.</t>
  </si>
  <si>
    <t>receiver_account_id</t>
  </si>
  <si>
    <t>FK → accounts.account_id. NULLABLE. Set for internal transfers only.</t>
  </si>
  <si>
    <t>beneficiary_id</t>
  </si>
  <si>
    <t>FK → beneficiaries.beneficiary_id. NULLABLE. Set for external transfers only.</t>
  </si>
  <si>
    <t>device_id</t>
  </si>
  <si>
    <t>FK → devices.device_id. Device used to initiate transaction.</t>
  </si>
  <si>
    <t>timestamp</t>
  </si>
  <si>
    <t>Full datetime of transaction (UTC).</t>
  </si>
  <si>
    <t>no</t>
  </si>
  <si>
    <t>amount</t>
  </si>
  <si>
    <t>Transaction amount in INR. Lognormally distributed.</t>
  </si>
  <si>
    <t>channel</t>
  </si>
  <si>
    <t>Channel: mobile | web | branch | atm.</t>
  </si>
  <si>
    <t>debit_credit</t>
  </si>
  <si>
    <t>Always 'debit' — sender perspective.</t>
  </si>
  <si>
    <t>transaction_type</t>
  </si>
  <si>
    <t>Payment instrument: UPI | IMPS | wallet_transfer | NEFT | RTGS | online_transfer | cash_deposit | cash_withdrawal | DD | balance_enquiry.</t>
  </si>
  <si>
    <t>cash_flag</t>
  </si>
  <si>
    <t>1 = physical cash involved (cash_deposit, cash_withdrawal, DD).</t>
  </si>
  <si>
    <t>fraud_type</t>
  </si>
  <si>
    <t>Ground truth typology: normal | mule_ring | layering | ATO | smurfing | identity_fraud.</t>
  </si>
  <si>
    <t>label</t>
  </si>
  <si>
    <t>Target variable. 0 = legitimate, 1 = fraud.</t>
  </si>
  <si>
    <t>avg_balance</t>
  </si>
  <si>
    <t>From accounts. Average account balance (INR). Denominator for ratio features.</t>
  </si>
  <si>
    <t>account_open_days</t>
  </si>
  <si>
    <t>From accounts. Days since account opened. &lt;60 days = elevated identity fraud risk.</t>
  </si>
  <si>
    <t>kyc_level</t>
  </si>
  <si>
    <t>From accounts/customers. KYC depth: low | medium | high.</t>
  </si>
  <si>
    <t>country_risk</t>
  </si>
  <si>
    <t>From accounts/customers. Home jurisdiction risk: low | medium | high.</t>
  </si>
  <si>
    <t>income_bracket</t>
  </si>
  <si>
    <t>From accounts/customers. Declared income: low | medium | high.</t>
  </si>
  <si>
    <t>customer_risk_rating</t>
  </si>
  <si>
    <t>From accounts/customers. CDD rating: low | medium | high | very_high.</t>
  </si>
  <si>
    <t>pep_flag</t>
  </si>
  <si>
    <t>From accounts/customers. 1 = Politically Exposed Person.</t>
  </si>
  <si>
    <t>occupation</t>
  </si>
  <si>
    <t>From accounts/customers. Declared occupation.</t>
  </si>
  <si>
    <t>industry</t>
  </si>
  <si>
    <t>From accounts/customers. Business sector.</t>
  </si>
  <si>
    <t>account_type</t>
  </si>
  <si>
    <t>From accounts/customers. Account type: retail | corporate | savings | current | business.</t>
  </si>
  <si>
    <t>device_age_days</t>
  </si>
  <si>
    <t>From devices. Age of device in days.</t>
  </si>
  <si>
    <t>rooted_flag</t>
  </si>
  <si>
    <t>From devices. 1 = rooted/jailbroken device.</t>
  </si>
  <si>
    <t>os_type</t>
  </si>
  <si>
    <t>From devices. android | ios | windows | unknown.</t>
  </si>
  <si>
    <t>vpn_flag</t>
  </si>
  <si>
    <t>From devices. 1 = VPN/proxy detected.</t>
  </si>
  <si>
    <t>emulator_flag</t>
  </si>
  <si>
    <t>From devices. 1 = emulated environment (not physical device).</t>
  </si>
  <si>
    <t>beneficiary_type</t>
  </si>
  <si>
    <t>From beneficiaries. individual | merchant | crypto | offshore.</t>
  </si>
  <si>
    <t>beneficiary_country_risk</t>
  </si>
  <si>
    <t>From beneficiaries. Jurisdiction risk: low | medium | high.</t>
  </si>
  <si>
    <t>hour</t>
  </si>
  <si>
    <t>Hour of day (0–23). Fraud peaks at 0–4 and 20–23.</t>
  </si>
  <si>
    <t>day_of_week</t>
  </si>
  <si>
    <t>Day of week (0=Mon … 6=Sun).</t>
  </si>
  <si>
    <t>date</t>
  </si>
  <si>
    <t>Calendar date of transaction.</t>
  </si>
  <si>
    <t>month</t>
  </si>
  <si>
    <t>Calendar month (1–12).</t>
  </si>
  <si>
    <t>week_of_year</t>
  </si>
  <si>
    <t>ISO week number (1–53).</t>
  </si>
  <si>
    <t>is_night</t>
  </si>
  <si>
    <t>1 = transaction between 22:00 and 05:59.</t>
  </si>
  <si>
    <t>is_weekend</t>
  </si>
  <si>
    <t>1 = Saturday or Sunday.</t>
  </si>
  <si>
    <t>is_business_hours</t>
  </si>
  <si>
    <t>1 = transaction between 09:00 and 17:00.</t>
  </si>
  <si>
    <t>amount_to_balance_ratio</t>
  </si>
  <si>
    <t>amount / avg_balance (clipped at 1). &gt;1 means txn exceeds typical balance.</t>
  </si>
  <si>
    <t>is_round_amount</t>
  </si>
  <si>
    <t>1 = amount is a round multiple of ₹1,000 and ≥ ₹1,000.</t>
  </si>
  <si>
    <t>log_amount</t>
  </si>
  <si>
    <t>log1p(amount). Log-transformed for ML models.</t>
  </si>
  <si>
    <t>high_risk_beneficiary</t>
  </si>
  <si>
    <t>1 = beneficiary_id is in the high-risk pool (crypto/offshore/high-country-risk).</t>
  </si>
  <si>
    <t>account_age_days</t>
  </si>
  <si>
    <t>Account age in days at the time of this transaction (dynamic, not static).</t>
  </si>
  <si>
    <t>txn_count_last_1hr</t>
  </si>
  <si>
    <t>ACCOUNT: Number of transactions sent in the last 1 hour.</t>
  </si>
  <si>
    <t>txn_count_last_24hr</t>
  </si>
  <si>
    <t>ACCOUNT: Number of transactions sent in the last 24 hours.</t>
  </si>
  <si>
    <t>total_amount_last_24hr</t>
  </si>
  <si>
    <t>ACCOUNT: Total INR sent in the last 24 hours.</t>
  </si>
  <si>
    <t>txn_count_last_7d</t>
  </si>
  <si>
    <t>ACCOUNT: Transaction count in the last 7 days.</t>
  </si>
  <si>
    <t>txn_count_last_30d</t>
  </si>
  <si>
    <t>ACCOUNT: Transaction count in the last 30 days.</t>
  </si>
  <si>
    <t>total_amount_last_7d</t>
  </si>
  <si>
    <t>ACCOUNT: Total INR sent in the last 7 days.</t>
  </si>
  <si>
    <t>total_amount_last_30d</t>
  </si>
  <si>
    <t>ACCOUNT: Total INR sent in the last 30 days.</t>
  </si>
  <si>
    <t>amount_zscore_30d</t>
  </si>
  <si>
    <t>ACCOUNT: Z-score of this amount vs 30-day rolling mean. &gt;3 = anomalous spike.</t>
  </si>
  <si>
    <t>dormancy_flag</t>
  </si>
  <si>
    <t>ACCOUNT: 1 = &gt;30 days since last transaction from this account.</t>
  </si>
  <si>
    <t>txn_velocity_cumulative</t>
  </si>
  <si>
    <t>ACCOUNT: Cumulative count of all transactions from this account.</t>
  </si>
  <si>
    <t>cust_txn_count_last_1hr</t>
  </si>
  <si>
    <t>CUSTOMER: Transactions across all accounts in last 1 hour.</t>
  </si>
  <si>
    <t>cust_txn_count_last_24hr</t>
  </si>
  <si>
    <t>CUSTOMER: Transactions across all accounts in last 24 hours.</t>
  </si>
  <si>
    <t>cust_total_amount_last_24hr</t>
  </si>
  <si>
    <t>CUSTOMER: Total INR across all accounts in last 24 hours.</t>
  </si>
  <si>
    <t>cust_txn_count_last_7d</t>
  </si>
  <si>
    <t>CUSTOMER: Transaction count across all accounts in last 7 days.</t>
  </si>
  <si>
    <t>cust_total_amount_last_7d</t>
  </si>
  <si>
    <t>CUSTOMER: Total INR across all accounts in last 7 days.</t>
  </si>
  <si>
    <t>cust_txn_count_last_30d</t>
  </si>
  <si>
    <t>CUSTOMER: Transaction count across all accounts in last 30 days.</t>
  </si>
  <si>
    <t>cust_total_amount_last_30d</t>
  </si>
  <si>
    <t>CUSTOMER: Total INR across all accounts in last 30 days.</t>
  </si>
  <si>
    <t>cust_unique_accounts_30d</t>
  </si>
  <si>
    <t>CUSTOMER: Number of unique accounts used (cumulative proxy).</t>
  </si>
  <si>
    <t>rule_trigger_count</t>
  </si>
  <si>
    <t>Total AML rules triggered by this transaction. Higher = more suspicious.</t>
  </si>
  <si>
    <t>max_rule_severity</t>
  </si>
  <si>
    <t>Severity (1–3) of the most severe rule triggered. 0 if none.</t>
  </si>
  <si>
    <t>weighted_rule_score</t>
  </si>
  <si>
    <t>Sum of severities of all triggered rules. Overall suspicion weight.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</si>
</sst>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fc4bd521ffc22738/Desktop/Freelancing/AIGEN/smartsentry_aml_model/Data%20Dictionary.xlsx" TargetMode="External"/><Relationship Id="rId1" Type="http://schemas.openxmlformats.org/officeDocument/2006/relationships/externalLinkPath" Target="/fc4bd521ffc22738/Desktop/Freelancing/AIGEN/smartsentry_aml_model/Data%20Diction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ustomer &amp; Account"/>
      <sheetName val="Transaction Data"/>
      <sheetName val="Typology Flags Explained"/>
      <sheetName val="AML Rule based columns Explaine"/>
      <sheetName val="ER Diagram"/>
    </sheetNames>
    <sheetDataSet>
      <sheetData sheetId="0"/>
      <sheetData sheetId="1">
        <row r="2">
          <cell r="A2" t="str">
            <v>transaction_id</v>
          </cell>
          <cell r="B2" t="str">
            <v>PK. Unique transaction identifier. Format: T0, T1, …</v>
          </cell>
          <cell r="C2" t="str">
            <v>System Generated</v>
          </cell>
          <cell r="D2" t="str">
            <v>yes</v>
          </cell>
        </row>
        <row r="3">
          <cell r="A3" t="str">
            <v>customer_id</v>
          </cell>
          <cell r="B3" t="str">
            <v>FK → customers.customer_id. Denormalised for single-key joins.</v>
          </cell>
          <cell r="C3" t="str">
            <v>System Generated</v>
          </cell>
          <cell r="D3" t="str">
            <v>yes</v>
          </cell>
        </row>
        <row r="4">
          <cell r="A4" t="str">
            <v>sender_account_id</v>
          </cell>
          <cell r="B4" t="str">
            <v>FK → accounts.account_id. Account that initiated the payment.</v>
          </cell>
          <cell r="C4" t="str">
            <v>System Generated</v>
          </cell>
          <cell r="D4" t="str">
            <v>yes</v>
          </cell>
        </row>
        <row r="5">
          <cell r="A5" t="str">
            <v>receiver_account_id</v>
          </cell>
          <cell r="B5" t="str">
            <v>FK → accounts.account_id. NULLABLE. Set for internal transfers only.</v>
          </cell>
          <cell r="C5" t="str">
            <v>System Generated</v>
          </cell>
          <cell r="D5" t="str">
            <v>yes</v>
          </cell>
        </row>
        <row r="6">
          <cell r="A6" t="str">
            <v>beneficiary_id</v>
          </cell>
          <cell r="B6" t="str">
            <v>FK → beneficiaries.beneficiary_id. NULLABLE. Set for external transfers only.</v>
          </cell>
          <cell r="C6" t="str">
            <v>System Generated</v>
          </cell>
          <cell r="D6" t="str">
            <v>yes</v>
          </cell>
        </row>
        <row r="7">
          <cell r="A7" t="str">
            <v>device_id</v>
          </cell>
          <cell r="B7" t="str">
            <v>FK → devices.device_id. Device used to initiate transaction.</v>
          </cell>
          <cell r="C7" t="str">
            <v>System Generated</v>
          </cell>
          <cell r="D7" t="str">
            <v>yes</v>
          </cell>
        </row>
        <row r="8">
          <cell r="A8" t="str">
            <v>timestamp</v>
          </cell>
          <cell r="B8" t="str">
            <v>Full datetime of transaction (UTC).</v>
          </cell>
          <cell r="C8" t="str">
            <v>System Generated</v>
          </cell>
          <cell r="D8" t="str">
            <v>no</v>
          </cell>
        </row>
        <row r="9">
          <cell r="A9" t="str">
            <v>amount</v>
          </cell>
          <cell r="B9" t="str">
            <v>Transaction amount in INR. Lognormally distributed.</v>
          </cell>
          <cell r="C9" t="str">
            <v>System Generated</v>
          </cell>
          <cell r="D9" t="str">
            <v>no</v>
          </cell>
        </row>
        <row r="10">
          <cell r="A10" t="str">
            <v>channel</v>
          </cell>
          <cell r="B10" t="str">
            <v>Channel: mobile | web | branch | atm.</v>
          </cell>
          <cell r="C10" t="str">
            <v>System Generated</v>
          </cell>
          <cell r="D10" t="str">
            <v>no</v>
          </cell>
        </row>
        <row r="11">
          <cell r="A11" t="str">
            <v>debit_credit</v>
          </cell>
          <cell r="B11" t="str">
            <v>Always 'debit' — sender perspective.</v>
          </cell>
          <cell r="C11" t="str">
            <v>Calculated</v>
          </cell>
          <cell r="D11" t="str">
            <v>no</v>
          </cell>
        </row>
        <row r="12">
          <cell r="A12" t="str">
            <v>transaction_type</v>
          </cell>
          <cell r="B12" t="str">
            <v>Payment instrument: UPI | IMPS | wallet_transfer | NEFT | RTGS | online_transfer | cash_deposit | cash_withdrawal | DD | balance_enquiry.</v>
          </cell>
          <cell r="C12" t="str">
            <v>System Generated</v>
          </cell>
          <cell r="D12" t="str">
            <v>no</v>
          </cell>
        </row>
        <row r="13">
          <cell r="A13" t="str">
            <v>cash_flag</v>
          </cell>
          <cell r="B13" t="str">
            <v>1 = physical cash involved (cash_deposit, cash_withdrawal, DD).</v>
          </cell>
          <cell r="C13" t="str">
            <v>Calculated</v>
          </cell>
          <cell r="D13" t="str">
            <v>no</v>
          </cell>
        </row>
        <row r="14">
          <cell r="A14" t="str">
            <v>fraud_type</v>
          </cell>
          <cell r="B14" t="str">
            <v>Ground truth typology: normal | mule_ring | layering | ATO | smurfing | identity_fraud.</v>
          </cell>
          <cell r="C14" t="str">
            <v>Calculated</v>
          </cell>
          <cell r="D14" t="str">
            <v>no</v>
          </cell>
        </row>
        <row r="15">
          <cell r="A15" t="str">
            <v>label</v>
          </cell>
          <cell r="B15" t="str">
            <v>Target variable. 0 = legitimate, 1 = fraud.</v>
          </cell>
          <cell r="C15" t="str">
            <v>Calculated</v>
          </cell>
          <cell r="D15" t="str">
            <v>no</v>
          </cell>
        </row>
        <row r="16">
          <cell r="A16" t="str">
            <v>avg_balance</v>
          </cell>
          <cell r="B16" t="str">
            <v>Average account balance (INR). Denominator for ratio features.</v>
          </cell>
          <cell r="C16" t="str">
            <v>Accounts Table</v>
          </cell>
          <cell r="D16" t="str">
            <v>no</v>
          </cell>
        </row>
        <row r="17">
          <cell r="A17" t="str">
            <v>account_open_days</v>
          </cell>
          <cell r="B17" t="str">
            <v>Days since account opened. &lt;60 days = elevated identity fraud risk.</v>
          </cell>
          <cell r="C17" t="str">
            <v>Accounts Table</v>
          </cell>
          <cell r="D17" t="str">
            <v>no</v>
          </cell>
        </row>
        <row r="18">
          <cell r="A18" t="str">
            <v>kyc_level</v>
          </cell>
          <cell r="B18" t="str">
            <v>KYC depth: low | medium | high.</v>
          </cell>
          <cell r="C18" t="str">
            <v>Customers Table</v>
          </cell>
          <cell r="D18" t="str">
            <v>no</v>
          </cell>
        </row>
        <row r="19">
          <cell r="A19" t="str">
            <v>country_risk</v>
          </cell>
          <cell r="B19" t="str">
            <v>Home jurisdiction risk: low | medium | high.</v>
          </cell>
          <cell r="C19" t="str">
            <v>Customers Table</v>
          </cell>
          <cell r="D19" t="str">
            <v>no</v>
          </cell>
        </row>
        <row r="20">
          <cell r="A20" t="str">
            <v>income_bracket</v>
          </cell>
          <cell r="B20" t="str">
            <v>Declared income: low | medium | high.</v>
          </cell>
          <cell r="C20" t="str">
            <v>Customers Table</v>
          </cell>
          <cell r="D20" t="str">
            <v>no</v>
          </cell>
        </row>
        <row r="21">
          <cell r="A21" t="str">
            <v>customer_risk_rating</v>
          </cell>
          <cell r="B21" t="str">
            <v>CDD rating: low | medium | high | very_high.</v>
          </cell>
          <cell r="C21" t="str">
            <v>Customers Table</v>
          </cell>
          <cell r="D21" t="str">
            <v>no</v>
          </cell>
        </row>
        <row r="22">
          <cell r="A22" t="str">
            <v>pep_flag</v>
          </cell>
          <cell r="B22" t="str">
            <v>1 = Politically Exposed Person.</v>
          </cell>
          <cell r="C22" t="str">
            <v>Customers Table</v>
          </cell>
          <cell r="D22" t="str">
            <v>no</v>
          </cell>
        </row>
        <row r="23">
          <cell r="A23" t="str">
            <v>occupation</v>
          </cell>
          <cell r="B23" t="str">
            <v>Declared occupation.</v>
          </cell>
          <cell r="C23" t="str">
            <v>Customers Table</v>
          </cell>
          <cell r="D23" t="str">
            <v>no</v>
          </cell>
        </row>
        <row r="24">
          <cell r="A24" t="str">
            <v>industry</v>
          </cell>
          <cell r="B24" t="str">
            <v>Business sector.</v>
          </cell>
          <cell r="C24" t="str">
            <v>Customers Table</v>
          </cell>
          <cell r="D24" t="str">
            <v>no</v>
          </cell>
        </row>
        <row r="25">
          <cell r="A25" t="str">
            <v>account_type</v>
          </cell>
          <cell r="B25" t="str">
            <v>retail | corporate | savings | current | business.</v>
          </cell>
          <cell r="C25" t="str">
            <v>Customers Table</v>
          </cell>
          <cell r="D25" t="str">
            <v>no</v>
          </cell>
        </row>
        <row r="26">
          <cell r="A26" t="str">
            <v>device_age_days</v>
          </cell>
          <cell r="B26" t="str">
            <v>Age of device in days.</v>
          </cell>
          <cell r="C26" t="str">
            <v>Devices Table</v>
          </cell>
          <cell r="D26" t="str">
            <v>no</v>
          </cell>
        </row>
        <row r="27">
          <cell r="A27" t="str">
            <v>rooted_flag</v>
          </cell>
          <cell r="B27" t="str">
            <v>1 = rooted/jailbroken device.</v>
          </cell>
          <cell r="C27" t="str">
            <v>Devices Table</v>
          </cell>
          <cell r="D27" t="str">
            <v>no</v>
          </cell>
        </row>
        <row r="28">
          <cell r="A28" t="str">
            <v>os_type</v>
          </cell>
          <cell r="B28" t="str">
            <v>android | ios | windows | unknown.</v>
          </cell>
          <cell r="C28" t="str">
            <v>Devices Table</v>
          </cell>
          <cell r="D28" t="str">
            <v>no</v>
          </cell>
        </row>
        <row r="29">
          <cell r="A29" t="str">
            <v>vpn_flag</v>
          </cell>
          <cell r="B29" t="str">
            <v>1 = VPN/proxy detected.</v>
          </cell>
          <cell r="C29" t="str">
            <v>Devices Table</v>
          </cell>
          <cell r="D29" t="str">
            <v>no</v>
          </cell>
        </row>
        <row r="30">
          <cell r="A30" t="str">
            <v>emulator_flag</v>
          </cell>
          <cell r="B30" t="str">
            <v>1 = emulated environment (not physical device).</v>
          </cell>
          <cell r="C30" t="str">
            <v>Devices Table</v>
          </cell>
          <cell r="D30" t="str">
            <v>no</v>
          </cell>
        </row>
        <row r="31">
          <cell r="A31" t="str">
            <v>beneficiary_type</v>
          </cell>
          <cell r="B31" t="str">
            <v>individual | merchant | crypto | offshore.</v>
          </cell>
          <cell r="C31" t="str">
            <v>Benificiary Table</v>
          </cell>
          <cell r="D31" t="str">
            <v>no</v>
          </cell>
        </row>
        <row r="32">
          <cell r="A32" t="str">
            <v>beneficiary_country_risk</v>
          </cell>
          <cell r="B32" t="str">
            <v>Jurisdiction risk: low | medium | high.</v>
          </cell>
          <cell r="C32" t="str">
            <v>Benificiary Table</v>
          </cell>
          <cell r="D32" t="str">
            <v>no</v>
          </cell>
        </row>
        <row r="33">
          <cell r="A33" t="str">
            <v>hour</v>
          </cell>
          <cell r="B33" t="str">
            <v>Hour of day (0–23). Fraud peaks at 0–4 and 20–23.</v>
          </cell>
          <cell r="C33" t="str">
            <v>Calculated</v>
          </cell>
          <cell r="D33" t="str">
            <v>no</v>
          </cell>
        </row>
        <row r="34">
          <cell r="A34" t="str">
            <v>day_of_week</v>
          </cell>
          <cell r="B34" t="str">
            <v>Day of week (0=Mon … 6=Sun).</v>
          </cell>
          <cell r="C34" t="str">
            <v>Calculated</v>
          </cell>
          <cell r="D34" t="str">
            <v>no</v>
          </cell>
        </row>
        <row r="35">
          <cell r="A35" t="str">
            <v>date</v>
          </cell>
          <cell r="B35" t="str">
            <v>Calendar date of transaction.</v>
          </cell>
          <cell r="C35" t="str">
            <v>Calculated</v>
          </cell>
          <cell r="D35" t="str">
            <v>no</v>
          </cell>
        </row>
        <row r="36">
          <cell r="A36" t="str">
            <v>month</v>
          </cell>
          <cell r="B36" t="str">
            <v>Calendar month (1–12).</v>
          </cell>
          <cell r="C36" t="str">
            <v>Calculated</v>
          </cell>
          <cell r="D36" t="str">
            <v>no</v>
          </cell>
        </row>
        <row r="37">
          <cell r="A37" t="str">
            <v>week_of_year</v>
          </cell>
          <cell r="B37" t="str">
            <v>ISO week number (1–53).</v>
          </cell>
          <cell r="C37" t="str">
            <v>Calculated</v>
          </cell>
          <cell r="D37" t="str">
            <v>no</v>
          </cell>
        </row>
        <row r="38">
          <cell r="A38" t="str">
            <v>is_night</v>
          </cell>
          <cell r="B38" t="str">
            <v>1 = transaction between 22:00 and 05:59.</v>
          </cell>
          <cell r="C38" t="str">
            <v>Calculated</v>
          </cell>
          <cell r="D38" t="str">
            <v>no</v>
          </cell>
        </row>
        <row r="39">
          <cell r="A39" t="str">
            <v>is_weekend</v>
          </cell>
          <cell r="B39" t="str">
            <v>1 = Saturday or Sunday.</v>
          </cell>
          <cell r="C39" t="str">
            <v>Calculated</v>
          </cell>
          <cell r="D39" t="str">
            <v>no</v>
          </cell>
        </row>
        <row r="40">
          <cell r="A40" t="str">
            <v>is_business_hours</v>
          </cell>
          <cell r="B40" t="str">
            <v>1 = transaction between 09:00 and 17:00.</v>
          </cell>
          <cell r="C40" t="str">
            <v>Calculated</v>
          </cell>
          <cell r="D40" t="str">
            <v>no</v>
          </cell>
        </row>
        <row r="41">
          <cell r="A41" t="str">
            <v>amount_to_balance_ratio</v>
          </cell>
          <cell r="B41" t="str">
            <v>amount / avg_balance (clipped at 1). &gt;1 means txn exceeds typical balance.</v>
          </cell>
          <cell r="C41" t="str">
            <v>Calculated</v>
          </cell>
          <cell r="D41" t="str">
            <v>no</v>
          </cell>
        </row>
        <row r="42">
          <cell r="A42" t="str">
            <v>is_round_amount</v>
          </cell>
          <cell r="B42" t="str">
            <v>1 = amount is a round multiple of ₹1,000 and ≥ ₹1,000.</v>
          </cell>
          <cell r="C42" t="str">
            <v>Calculated</v>
          </cell>
          <cell r="D42" t="str">
            <v>no</v>
          </cell>
        </row>
        <row r="43">
          <cell r="A43" t="str">
            <v>log_amount</v>
          </cell>
          <cell r="B43" t="str">
            <v>log1p(amount). Log-transformed for ML models.</v>
          </cell>
          <cell r="C43" t="str">
            <v>Calculated</v>
          </cell>
          <cell r="D43" t="str">
            <v>no</v>
          </cell>
        </row>
        <row r="44">
          <cell r="A44" t="str">
            <v>high_risk_beneficiary</v>
          </cell>
          <cell r="B44" t="str">
            <v>1 = beneficiary_id is in the high-risk pool (crypto/offshore/high-country-risk).</v>
          </cell>
          <cell r="C44" t="str">
            <v>Calculated</v>
          </cell>
          <cell r="D44" t="str">
            <v>no</v>
          </cell>
        </row>
        <row r="45">
          <cell r="A45" t="str">
            <v>account_age_days</v>
          </cell>
          <cell r="B45" t="str">
            <v>Account age in days at the time of this transaction (dynamic, not static).</v>
          </cell>
          <cell r="C45" t="str">
            <v>Calculated</v>
          </cell>
          <cell r="D45" t="str">
            <v>no</v>
          </cell>
        </row>
        <row r="46">
          <cell r="A46" t="str">
            <v>txn_count_last_1hr</v>
          </cell>
          <cell r="B46" t="str">
            <v>ACCOUNT: Number of transactions sent in the last 1 hour.</v>
          </cell>
          <cell r="C46" t="str">
            <v>Calculated</v>
          </cell>
          <cell r="D46" t="str">
            <v>no</v>
          </cell>
        </row>
        <row r="47">
          <cell r="A47" t="str">
            <v>txn_count_last_24hr</v>
          </cell>
          <cell r="B47" t="str">
            <v>ACCOUNT: Number of transactions sent in the last 24 hours.</v>
          </cell>
          <cell r="C47" t="str">
            <v>Calculated</v>
          </cell>
          <cell r="D47" t="str">
            <v>no</v>
          </cell>
        </row>
        <row r="48">
          <cell r="A48" t="str">
            <v>total_amount_last_24hr</v>
          </cell>
          <cell r="B48" t="str">
            <v>ACCOUNT: Total INR sent in the last 24 hours.</v>
          </cell>
          <cell r="C48" t="str">
            <v>Calculated</v>
          </cell>
          <cell r="D48" t="str">
            <v>no</v>
          </cell>
        </row>
        <row r="49">
          <cell r="A49" t="str">
            <v>total_amount_last_7d</v>
          </cell>
          <cell r="B49" t="str">
            <v>ACCOUNT: Total INR sent in the last 7 days.</v>
          </cell>
          <cell r="C49" t="str">
            <v>Calculated</v>
          </cell>
          <cell r="D49" t="str">
            <v>no</v>
          </cell>
        </row>
        <row r="50">
          <cell r="A50" t="str">
            <v>total_amount_last_30d</v>
          </cell>
          <cell r="B50" t="str">
            <v>ACCOUNT: Total INR sent in the last 30 days.</v>
          </cell>
          <cell r="C50" t="str">
            <v>Calculated</v>
          </cell>
          <cell r="D50" t="str">
            <v>no</v>
          </cell>
        </row>
        <row r="51">
          <cell r="A51" t="str">
            <v>dormancy_flag</v>
          </cell>
          <cell r="B51" t="str">
            <v>ACCOUNT: 1 = &gt;30 days since last transaction from this account.</v>
          </cell>
          <cell r="C51" t="str">
            <v>Calculated</v>
          </cell>
          <cell r="D51" t="str">
            <v>no</v>
          </cell>
        </row>
        <row r="52">
          <cell r="A52" t="str">
            <v>txn_velocity_cumulative</v>
          </cell>
          <cell r="B52" t="str">
            <v>ACCOUNT: Cumulative count of all transactions from this account.</v>
          </cell>
          <cell r="C52" t="str">
            <v>Calculated</v>
          </cell>
          <cell r="D52" t="str">
            <v>no</v>
          </cell>
        </row>
        <row r="53">
          <cell r="A53" t="str">
            <v>rule_trigger_count</v>
          </cell>
          <cell r="B53" t="str">
            <v>Total AML rules triggered by this transaction. Higher = more suspicious.</v>
          </cell>
          <cell r="C53" t="str">
            <v>Calculated</v>
          </cell>
          <cell r="D53" t="str">
            <v>no</v>
          </cell>
        </row>
        <row r="54">
          <cell r="A54" t="str">
            <v>max_rule_severity</v>
          </cell>
          <cell r="B54" t="str">
            <v>Severity (1–3) of the most severe rule triggered. 0 if none.</v>
          </cell>
          <cell r="C54" t="str">
            <v>Calculated</v>
          </cell>
          <cell r="D54" t="str">
            <v>no</v>
          </cell>
        </row>
        <row r="55">
          <cell r="A55" t="str">
            <v>weighted_rule_score</v>
          </cell>
          <cell r="B55" t="str">
            <v>Sum of severities of all triggered rules. Overall suspicion weight.</v>
          </cell>
          <cell r="C55" t="str">
            <v>Calculated</v>
          </cell>
          <cell r="D55" t="str">
            <v>no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66"/>
  <sheetViews>
    <sheetView tabSelected="1" workbookViewId="0">
      <selection activeCell="A49" sqref="A49:B63"/>
    </sheetView>
  </sheetViews>
  <sheetFormatPr defaultRowHeight="14.4" x14ac:dyDescent="0.3"/>
  <cols>
    <col min="1" max="1" width="25.5546875" bestFit="1" customWidth="1"/>
    <col min="2" max="2" width="118.33203125" bestFit="1" customWidth="1"/>
  </cols>
  <sheetData>
    <row r="1" spans="1:4" x14ac:dyDescent="0.3">
      <c r="A1" s="1" t="s">
        <v>0</v>
      </c>
      <c r="B1" s="1" t="s">
        <v>1</v>
      </c>
      <c r="C1" s="1" t="s">
        <v>2</v>
      </c>
    </row>
    <row r="2" spans="1:4" hidden="1" x14ac:dyDescent="0.3">
      <c r="A2" t="s">
        <v>3</v>
      </c>
      <c r="B2" t="s">
        <v>4</v>
      </c>
      <c r="C2" t="s">
        <v>5</v>
      </c>
      <c r="D2" t="str">
        <f>VLOOKUP(A2,'[1]Transaction Data'!$A$2:$D$55,4,FALSE)</f>
        <v>yes</v>
      </c>
    </row>
    <row r="3" spans="1:4" hidden="1" x14ac:dyDescent="0.3">
      <c r="A3" t="s">
        <v>6</v>
      </c>
      <c r="B3" t="s">
        <v>7</v>
      </c>
      <c r="C3" t="s">
        <v>5</v>
      </c>
      <c r="D3" t="str">
        <f>VLOOKUP(A3,'[1]Transaction Data'!$A$2:$D$55,4,FALSE)</f>
        <v>yes</v>
      </c>
    </row>
    <row r="4" spans="1:4" hidden="1" x14ac:dyDescent="0.3">
      <c r="A4" t="s">
        <v>8</v>
      </c>
      <c r="B4" t="s">
        <v>9</v>
      </c>
      <c r="C4" t="s">
        <v>5</v>
      </c>
      <c r="D4" t="str">
        <f>VLOOKUP(A4,'[1]Transaction Data'!$A$2:$D$55,4,FALSE)</f>
        <v>yes</v>
      </c>
    </row>
    <row r="5" spans="1:4" hidden="1" x14ac:dyDescent="0.3">
      <c r="A5" t="s">
        <v>10</v>
      </c>
      <c r="B5" t="s">
        <v>11</v>
      </c>
      <c r="C5" t="s">
        <v>5</v>
      </c>
      <c r="D5" t="str">
        <f>VLOOKUP(A5,'[1]Transaction Data'!$A$2:$D$55,4,FALSE)</f>
        <v>yes</v>
      </c>
    </row>
    <row r="6" spans="1:4" hidden="1" x14ac:dyDescent="0.3">
      <c r="A6" t="s">
        <v>12</v>
      </c>
      <c r="B6" t="s">
        <v>13</v>
      </c>
      <c r="C6" t="s">
        <v>5</v>
      </c>
      <c r="D6" t="str">
        <f>VLOOKUP(A6,'[1]Transaction Data'!$A$2:$D$55,4,FALSE)</f>
        <v>yes</v>
      </c>
    </row>
    <row r="7" spans="1:4" hidden="1" x14ac:dyDescent="0.3">
      <c r="A7" t="s">
        <v>14</v>
      </c>
      <c r="B7" t="s">
        <v>15</v>
      </c>
      <c r="C7" t="s">
        <v>5</v>
      </c>
      <c r="D7" t="str">
        <f>VLOOKUP(A7,'[1]Transaction Data'!$A$2:$D$55,4,FALSE)</f>
        <v>yes</v>
      </c>
    </row>
    <row r="8" spans="1:4" hidden="1" x14ac:dyDescent="0.3">
      <c r="A8" t="s">
        <v>16</v>
      </c>
      <c r="B8" t="s">
        <v>17</v>
      </c>
      <c r="C8" t="s">
        <v>18</v>
      </c>
      <c r="D8" t="str">
        <f>VLOOKUP(A8,'[1]Transaction Data'!$A$2:$D$55,4,FALSE)</f>
        <v>no</v>
      </c>
    </row>
    <row r="9" spans="1:4" hidden="1" x14ac:dyDescent="0.3">
      <c r="A9" t="s">
        <v>19</v>
      </c>
      <c r="B9" t="s">
        <v>20</v>
      </c>
      <c r="C9" t="s">
        <v>18</v>
      </c>
      <c r="D9" t="str">
        <f>VLOOKUP(A9,'[1]Transaction Data'!$A$2:$D$55,4,FALSE)</f>
        <v>no</v>
      </c>
    </row>
    <row r="10" spans="1:4" hidden="1" x14ac:dyDescent="0.3">
      <c r="A10" t="s">
        <v>21</v>
      </c>
      <c r="B10" t="s">
        <v>22</v>
      </c>
      <c r="C10" t="s">
        <v>18</v>
      </c>
      <c r="D10" t="str">
        <f>VLOOKUP(A10,'[1]Transaction Data'!$A$2:$D$55,4,FALSE)</f>
        <v>no</v>
      </c>
    </row>
    <row r="11" spans="1:4" hidden="1" x14ac:dyDescent="0.3">
      <c r="A11" t="s">
        <v>23</v>
      </c>
      <c r="B11" t="s">
        <v>24</v>
      </c>
      <c r="C11" t="s">
        <v>18</v>
      </c>
      <c r="D11" t="str">
        <f>VLOOKUP(A11,'[1]Transaction Data'!$A$2:$D$55,4,FALSE)</f>
        <v>no</v>
      </c>
    </row>
    <row r="12" spans="1:4" hidden="1" x14ac:dyDescent="0.3">
      <c r="A12" t="s">
        <v>25</v>
      </c>
      <c r="B12" t="s">
        <v>26</v>
      </c>
      <c r="C12" t="s">
        <v>18</v>
      </c>
      <c r="D12" t="str">
        <f>VLOOKUP(A12,'[1]Transaction Data'!$A$2:$D$55,4,FALSE)</f>
        <v>no</v>
      </c>
    </row>
    <row r="13" spans="1:4" hidden="1" x14ac:dyDescent="0.3">
      <c r="A13" t="s">
        <v>27</v>
      </c>
      <c r="B13" t="s">
        <v>28</v>
      </c>
      <c r="C13" t="s">
        <v>18</v>
      </c>
      <c r="D13" t="str">
        <f>VLOOKUP(A13,'[1]Transaction Data'!$A$2:$D$55,4,FALSE)</f>
        <v>no</v>
      </c>
    </row>
    <row r="14" spans="1:4" hidden="1" x14ac:dyDescent="0.3">
      <c r="A14" t="s">
        <v>29</v>
      </c>
      <c r="B14" t="s">
        <v>30</v>
      </c>
      <c r="C14" t="s">
        <v>18</v>
      </c>
      <c r="D14" t="str">
        <f>VLOOKUP(A14,'[1]Transaction Data'!$A$2:$D$55,4,FALSE)</f>
        <v>no</v>
      </c>
    </row>
    <row r="15" spans="1:4" hidden="1" x14ac:dyDescent="0.3">
      <c r="A15" t="s">
        <v>31</v>
      </c>
      <c r="B15" t="s">
        <v>32</v>
      </c>
      <c r="C15" t="s">
        <v>18</v>
      </c>
      <c r="D15" t="str">
        <f>VLOOKUP(A15,'[1]Transaction Data'!$A$2:$D$55,4,FALSE)</f>
        <v>no</v>
      </c>
    </row>
    <row r="16" spans="1:4" hidden="1" x14ac:dyDescent="0.3">
      <c r="A16" t="s">
        <v>33</v>
      </c>
      <c r="B16" t="s">
        <v>34</v>
      </c>
      <c r="C16" t="s">
        <v>18</v>
      </c>
      <c r="D16" t="str">
        <f>VLOOKUP(A16,'[1]Transaction Data'!$A$2:$D$55,4,FALSE)</f>
        <v>no</v>
      </c>
    </row>
    <row r="17" spans="1:4" hidden="1" x14ac:dyDescent="0.3">
      <c r="A17" t="s">
        <v>35</v>
      </c>
      <c r="B17" t="s">
        <v>36</v>
      </c>
      <c r="C17" t="s">
        <v>18</v>
      </c>
      <c r="D17" t="str">
        <f>VLOOKUP(A17,'[1]Transaction Data'!$A$2:$D$55,4,FALSE)</f>
        <v>no</v>
      </c>
    </row>
    <row r="18" spans="1:4" hidden="1" x14ac:dyDescent="0.3">
      <c r="A18" t="s">
        <v>37</v>
      </c>
      <c r="B18" t="s">
        <v>38</v>
      </c>
      <c r="C18" t="s">
        <v>18</v>
      </c>
      <c r="D18" t="str">
        <f>VLOOKUP(A18,'[1]Transaction Data'!$A$2:$D$55,4,FALSE)</f>
        <v>no</v>
      </c>
    </row>
    <row r="19" spans="1:4" hidden="1" x14ac:dyDescent="0.3">
      <c r="A19" t="s">
        <v>39</v>
      </c>
      <c r="B19" t="s">
        <v>40</v>
      </c>
      <c r="C19" t="s">
        <v>18</v>
      </c>
      <c r="D19" t="str">
        <f>VLOOKUP(A19,'[1]Transaction Data'!$A$2:$D$55,4,FALSE)</f>
        <v>no</v>
      </c>
    </row>
    <row r="20" spans="1:4" hidden="1" x14ac:dyDescent="0.3">
      <c r="A20" t="s">
        <v>41</v>
      </c>
      <c r="B20" t="s">
        <v>42</v>
      </c>
      <c r="C20" t="s">
        <v>18</v>
      </c>
      <c r="D20" t="str">
        <f>VLOOKUP(A20,'[1]Transaction Data'!$A$2:$D$55,4,FALSE)</f>
        <v>no</v>
      </c>
    </row>
    <row r="21" spans="1:4" hidden="1" x14ac:dyDescent="0.3">
      <c r="A21" t="s">
        <v>43</v>
      </c>
      <c r="B21" t="s">
        <v>44</v>
      </c>
      <c r="C21" t="s">
        <v>18</v>
      </c>
      <c r="D21" t="str">
        <f>VLOOKUP(A21,'[1]Transaction Data'!$A$2:$D$55,4,FALSE)</f>
        <v>no</v>
      </c>
    </row>
    <row r="22" spans="1:4" hidden="1" x14ac:dyDescent="0.3">
      <c r="A22" t="s">
        <v>45</v>
      </c>
      <c r="B22" t="s">
        <v>46</v>
      </c>
      <c r="C22" t="s">
        <v>18</v>
      </c>
      <c r="D22" t="str">
        <f>VLOOKUP(A22,'[1]Transaction Data'!$A$2:$D$55,4,FALSE)</f>
        <v>no</v>
      </c>
    </row>
    <row r="23" spans="1:4" hidden="1" x14ac:dyDescent="0.3">
      <c r="A23" t="s">
        <v>47</v>
      </c>
      <c r="B23" t="s">
        <v>48</v>
      </c>
      <c r="C23" t="s">
        <v>18</v>
      </c>
      <c r="D23" t="str">
        <f>VLOOKUP(A23,'[1]Transaction Data'!$A$2:$D$55,4,FALSE)</f>
        <v>no</v>
      </c>
    </row>
    <row r="24" spans="1:4" hidden="1" x14ac:dyDescent="0.3">
      <c r="A24" t="s">
        <v>49</v>
      </c>
      <c r="B24" t="s">
        <v>50</v>
      </c>
      <c r="C24" t="s">
        <v>18</v>
      </c>
      <c r="D24" t="str">
        <f>VLOOKUP(A24,'[1]Transaction Data'!$A$2:$D$55,4,FALSE)</f>
        <v>no</v>
      </c>
    </row>
    <row r="25" spans="1:4" hidden="1" x14ac:dyDescent="0.3">
      <c r="A25" t="s">
        <v>51</v>
      </c>
      <c r="B25" t="s">
        <v>52</v>
      </c>
      <c r="C25" t="s">
        <v>18</v>
      </c>
      <c r="D25" t="str">
        <f>VLOOKUP(A25,'[1]Transaction Data'!$A$2:$D$55,4,FALSE)</f>
        <v>no</v>
      </c>
    </row>
    <row r="26" spans="1:4" hidden="1" x14ac:dyDescent="0.3">
      <c r="A26" t="s">
        <v>53</v>
      </c>
      <c r="B26" t="s">
        <v>54</v>
      </c>
      <c r="C26" t="s">
        <v>18</v>
      </c>
      <c r="D26" t="str">
        <f>VLOOKUP(A26,'[1]Transaction Data'!$A$2:$D$55,4,FALSE)</f>
        <v>no</v>
      </c>
    </row>
    <row r="27" spans="1:4" hidden="1" x14ac:dyDescent="0.3">
      <c r="A27" t="s">
        <v>55</v>
      </c>
      <c r="B27" t="s">
        <v>56</v>
      </c>
      <c r="C27" t="s">
        <v>18</v>
      </c>
      <c r="D27" t="str">
        <f>VLOOKUP(A27,'[1]Transaction Data'!$A$2:$D$55,4,FALSE)</f>
        <v>no</v>
      </c>
    </row>
    <row r="28" spans="1:4" hidden="1" x14ac:dyDescent="0.3">
      <c r="A28" t="s">
        <v>57</v>
      </c>
      <c r="B28" t="s">
        <v>58</v>
      </c>
      <c r="C28" t="s">
        <v>18</v>
      </c>
      <c r="D28" t="str">
        <f>VLOOKUP(A28,'[1]Transaction Data'!$A$2:$D$55,4,FALSE)</f>
        <v>no</v>
      </c>
    </row>
    <row r="29" spans="1:4" hidden="1" x14ac:dyDescent="0.3">
      <c r="A29" t="s">
        <v>59</v>
      </c>
      <c r="B29" t="s">
        <v>60</v>
      </c>
      <c r="C29" t="s">
        <v>18</v>
      </c>
      <c r="D29" t="str">
        <f>VLOOKUP(A29,'[1]Transaction Data'!$A$2:$D$55,4,FALSE)</f>
        <v>no</v>
      </c>
    </row>
    <row r="30" spans="1:4" hidden="1" x14ac:dyDescent="0.3">
      <c r="A30" t="s">
        <v>61</v>
      </c>
      <c r="B30" t="s">
        <v>62</v>
      </c>
      <c r="C30" t="s">
        <v>18</v>
      </c>
      <c r="D30" t="str">
        <f>VLOOKUP(A30,'[1]Transaction Data'!$A$2:$D$55,4,FALSE)</f>
        <v>no</v>
      </c>
    </row>
    <row r="31" spans="1:4" hidden="1" x14ac:dyDescent="0.3">
      <c r="A31" t="s">
        <v>63</v>
      </c>
      <c r="B31" t="s">
        <v>64</v>
      </c>
      <c r="C31" t="s">
        <v>18</v>
      </c>
      <c r="D31" t="str">
        <f>VLOOKUP(A31,'[1]Transaction Data'!$A$2:$D$55,4,FALSE)</f>
        <v>no</v>
      </c>
    </row>
    <row r="32" spans="1:4" hidden="1" x14ac:dyDescent="0.3">
      <c r="A32" t="s">
        <v>65</v>
      </c>
      <c r="B32" t="s">
        <v>66</v>
      </c>
      <c r="C32" t="s">
        <v>18</v>
      </c>
      <c r="D32" t="str">
        <f>VLOOKUP(A32,'[1]Transaction Data'!$A$2:$D$55,4,FALSE)</f>
        <v>no</v>
      </c>
    </row>
    <row r="33" spans="1:4" hidden="1" x14ac:dyDescent="0.3">
      <c r="A33" t="s">
        <v>67</v>
      </c>
      <c r="B33" t="s">
        <v>68</v>
      </c>
      <c r="C33" t="s">
        <v>18</v>
      </c>
      <c r="D33" t="str">
        <f>VLOOKUP(A33,'[1]Transaction Data'!$A$2:$D$55,4,FALSE)</f>
        <v>no</v>
      </c>
    </row>
    <row r="34" spans="1:4" hidden="1" x14ac:dyDescent="0.3">
      <c r="A34" t="s">
        <v>69</v>
      </c>
      <c r="B34" t="s">
        <v>70</v>
      </c>
      <c r="C34" t="s">
        <v>18</v>
      </c>
      <c r="D34" t="str">
        <f>VLOOKUP(A34,'[1]Transaction Data'!$A$2:$D$55,4,FALSE)</f>
        <v>no</v>
      </c>
    </row>
    <row r="35" spans="1:4" hidden="1" x14ac:dyDescent="0.3">
      <c r="A35" t="s">
        <v>71</v>
      </c>
      <c r="B35" t="s">
        <v>72</v>
      </c>
      <c r="C35" t="s">
        <v>18</v>
      </c>
      <c r="D35" t="str">
        <f>VLOOKUP(A35,'[1]Transaction Data'!$A$2:$D$55,4,FALSE)</f>
        <v>no</v>
      </c>
    </row>
    <row r="36" spans="1:4" hidden="1" x14ac:dyDescent="0.3">
      <c r="A36" t="s">
        <v>73</v>
      </c>
      <c r="B36" t="s">
        <v>74</v>
      </c>
      <c r="C36" t="s">
        <v>18</v>
      </c>
      <c r="D36" t="str">
        <f>VLOOKUP(A36,'[1]Transaction Data'!$A$2:$D$55,4,FALSE)</f>
        <v>no</v>
      </c>
    </row>
    <row r="37" spans="1:4" hidden="1" x14ac:dyDescent="0.3">
      <c r="A37" t="s">
        <v>75</v>
      </c>
      <c r="B37" t="s">
        <v>76</v>
      </c>
      <c r="C37" t="s">
        <v>18</v>
      </c>
      <c r="D37" t="str">
        <f>VLOOKUP(A37,'[1]Transaction Data'!$A$2:$D$55,4,FALSE)</f>
        <v>no</v>
      </c>
    </row>
    <row r="38" spans="1:4" hidden="1" x14ac:dyDescent="0.3">
      <c r="A38" t="s">
        <v>77</v>
      </c>
      <c r="B38" t="s">
        <v>78</v>
      </c>
      <c r="C38" t="s">
        <v>18</v>
      </c>
      <c r="D38" t="str">
        <f>VLOOKUP(A38,'[1]Transaction Data'!$A$2:$D$55,4,FALSE)</f>
        <v>no</v>
      </c>
    </row>
    <row r="39" spans="1:4" hidden="1" x14ac:dyDescent="0.3">
      <c r="A39" t="s">
        <v>79</v>
      </c>
      <c r="B39" t="s">
        <v>80</v>
      </c>
      <c r="C39" t="s">
        <v>18</v>
      </c>
      <c r="D39" t="str">
        <f>VLOOKUP(A39,'[1]Transaction Data'!$A$2:$D$55,4,FALSE)</f>
        <v>no</v>
      </c>
    </row>
    <row r="40" spans="1:4" hidden="1" x14ac:dyDescent="0.3">
      <c r="A40" t="s">
        <v>81</v>
      </c>
      <c r="B40" t="s">
        <v>82</v>
      </c>
      <c r="C40" t="s">
        <v>18</v>
      </c>
      <c r="D40" t="str">
        <f>VLOOKUP(A40,'[1]Transaction Data'!$A$2:$D$55,4,FALSE)</f>
        <v>no</v>
      </c>
    </row>
    <row r="41" spans="1:4" hidden="1" x14ac:dyDescent="0.3">
      <c r="A41" t="s">
        <v>83</v>
      </c>
      <c r="B41" t="s">
        <v>84</v>
      </c>
      <c r="C41" t="s">
        <v>18</v>
      </c>
      <c r="D41" t="str">
        <f>VLOOKUP(A41,'[1]Transaction Data'!$A$2:$D$55,4,FALSE)</f>
        <v>no</v>
      </c>
    </row>
    <row r="42" spans="1:4" hidden="1" x14ac:dyDescent="0.3">
      <c r="A42" t="s">
        <v>85</v>
      </c>
      <c r="B42" t="s">
        <v>86</v>
      </c>
      <c r="C42" t="s">
        <v>18</v>
      </c>
      <c r="D42" t="str">
        <f>VLOOKUP(A42,'[1]Transaction Data'!$A$2:$D$55,4,FALSE)</f>
        <v>no</v>
      </c>
    </row>
    <row r="43" spans="1:4" hidden="1" x14ac:dyDescent="0.3">
      <c r="A43" t="s">
        <v>87</v>
      </c>
      <c r="B43" t="s">
        <v>88</v>
      </c>
      <c r="C43" t="s">
        <v>18</v>
      </c>
      <c r="D43" t="str">
        <f>VLOOKUP(A43,'[1]Transaction Data'!$A$2:$D$55,4,FALSE)</f>
        <v>no</v>
      </c>
    </row>
    <row r="44" spans="1:4" hidden="1" x14ac:dyDescent="0.3">
      <c r="A44" t="s">
        <v>89</v>
      </c>
      <c r="B44" t="s">
        <v>90</v>
      </c>
      <c r="C44" t="s">
        <v>18</v>
      </c>
      <c r="D44" t="str">
        <f>VLOOKUP(A44,'[1]Transaction Data'!$A$2:$D$55,4,FALSE)</f>
        <v>no</v>
      </c>
    </row>
    <row r="45" spans="1:4" hidden="1" x14ac:dyDescent="0.3">
      <c r="A45" t="s">
        <v>91</v>
      </c>
      <c r="B45" t="s">
        <v>92</v>
      </c>
      <c r="C45" t="s">
        <v>18</v>
      </c>
      <c r="D45" t="str">
        <f>VLOOKUP(A45,'[1]Transaction Data'!$A$2:$D$55,4,FALSE)</f>
        <v>no</v>
      </c>
    </row>
    <row r="46" spans="1:4" hidden="1" x14ac:dyDescent="0.3">
      <c r="A46" t="s">
        <v>93</v>
      </c>
      <c r="B46" t="s">
        <v>94</v>
      </c>
      <c r="C46" t="s">
        <v>18</v>
      </c>
      <c r="D46" t="str">
        <f>VLOOKUP(A46,'[1]Transaction Data'!$A$2:$D$55,4,FALSE)</f>
        <v>no</v>
      </c>
    </row>
    <row r="47" spans="1:4" hidden="1" x14ac:dyDescent="0.3">
      <c r="A47" t="s">
        <v>95</v>
      </c>
      <c r="B47" t="s">
        <v>96</v>
      </c>
      <c r="C47" t="s">
        <v>18</v>
      </c>
      <c r="D47" t="str">
        <f>VLOOKUP(A47,'[1]Transaction Data'!$A$2:$D$55,4,FALSE)</f>
        <v>no</v>
      </c>
    </row>
    <row r="48" spans="1:4" hidden="1" x14ac:dyDescent="0.3">
      <c r="A48" t="s">
        <v>97</v>
      </c>
      <c r="B48" t="s">
        <v>98</v>
      </c>
      <c r="C48" t="s">
        <v>18</v>
      </c>
      <c r="D48" t="str">
        <f>VLOOKUP(A48,'[1]Transaction Data'!$A$2:$D$55,4,FALSE)</f>
        <v>no</v>
      </c>
    </row>
    <row r="49" spans="1:4" x14ac:dyDescent="0.3">
      <c r="A49" t="s">
        <v>99</v>
      </c>
      <c r="B49" t="s">
        <v>100</v>
      </c>
      <c r="C49" t="s">
        <v>18</v>
      </c>
      <c r="D49" t="e">
        <f>VLOOKUP(A49,'[1]Transaction Data'!$A$2:$D$55,4,FALSE)</f>
        <v>#N/A</v>
      </c>
    </row>
    <row r="50" spans="1:4" x14ac:dyDescent="0.3">
      <c r="A50" t="s">
        <v>101</v>
      </c>
      <c r="B50" t="s">
        <v>102</v>
      </c>
      <c r="C50" t="s">
        <v>18</v>
      </c>
      <c r="D50" t="e">
        <f>VLOOKUP(A50,'[1]Transaction Data'!$A$2:$D$55,4,FALSE)</f>
        <v>#N/A</v>
      </c>
    </row>
    <row r="51" spans="1:4" hidden="1" x14ac:dyDescent="0.3">
      <c r="A51" t="s">
        <v>103</v>
      </c>
      <c r="B51" t="s">
        <v>104</v>
      </c>
      <c r="C51" t="s">
        <v>18</v>
      </c>
      <c r="D51" t="str">
        <f>VLOOKUP(A51,'[1]Transaction Data'!$A$2:$D$55,4,FALSE)</f>
        <v>no</v>
      </c>
    </row>
    <row r="52" spans="1:4" hidden="1" x14ac:dyDescent="0.3">
      <c r="A52" t="s">
        <v>105</v>
      </c>
      <c r="B52" t="s">
        <v>106</v>
      </c>
      <c r="C52" t="s">
        <v>18</v>
      </c>
      <c r="D52" t="str">
        <f>VLOOKUP(A52,'[1]Transaction Data'!$A$2:$D$55,4,FALSE)</f>
        <v>no</v>
      </c>
    </row>
    <row r="53" spans="1:4" x14ac:dyDescent="0.3">
      <c r="A53" t="s">
        <v>107</v>
      </c>
      <c r="B53" t="s">
        <v>108</v>
      </c>
      <c r="C53" t="s">
        <v>18</v>
      </c>
      <c r="D53" t="e">
        <f>VLOOKUP(A53,'[1]Transaction Data'!$A$2:$D$55,4,FALSE)</f>
        <v>#N/A</v>
      </c>
    </row>
    <row r="54" spans="1:4" hidden="1" x14ac:dyDescent="0.3">
      <c r="A54" t="s">
        <v>109</v>
      </c>
      <c r="B54" t="s">
        <v>110</v>
      </c>
      <c r="C54" t="s">
        <v>18</v>
      </c>
      <c r="D54" t="str">
        <f>VLOOKUP(A54,'[1]Transaction Data'!$A$2:$D$55,4,FALSE)</f>
        <v>no</v>
      </c>
    </row>
    <row r="55" spans="1:4" hidden="1" x14ac:dyDescent="0.3">
      <c r="A55" t="s">
        <v>111</v>
      </c>
      <c r="B55" t="s">
        <v>112</v>
      </c>
      <c r="C55" t="s">
        <v>18</v>
      </c>
      <c r="D55" t="str">
        <f>VLOOKUP(A55,'[1]Transaction Data'!$A$2:$D$55,4,FALSE)</f>
        <v>no</v>
      </c>
    </row>
    <row r="56" spans="1:4" x14ac:dyDescent="0.3">
      <c r="A56" t="s">
        <v>113</v>
      </c>
      <c r="B56" t="s">
        <v>114</v>
      </c>
      <c r="C56" t="s">
        <v>18</v>
      </c>
      <c r="D56" t="e">
        <f>VLOOKUP(A56,'[1]Transaction Data'!$A$2:$D$55,4,FALSE)</f>
        <v>#N/A</v>
      </c>
    </row>
    <row r="57" spans="1:4" x14ac:dyDescent="0.3">
      <c r="A57" t="s">
        <v>115</v>
      </c>
      <c r="B57" t="s">
        <v>116</v>
      </c>
      <c r="C57" t="s">
        <v>18</v>
      </c>
      <c r="D57" t="e">
        <f>VLOOKUP(A57,'[1]Transaction Data'!$A$2:$D$55,4,FALSE)</f>
        <v>#N/A</v>
      </c>
    </row>
    <row r="58" spans="1:4" x14ac:dyDescent="0.3">
      <c r="A58" t="s">
        <v>117</v>
      </c>
      <c r="B58" t="s">
        <v>118</v>
      </c>
      <c r="C58" t="s">
        <v>18</v>
      </c>
      <c r="D58" t="e">
        <f>VLOOKUP(A58,'[1]Transaction Data'!$A$2:$D$55,4,FALSE)</f>
        <v>#N/A</v>
      </c>
    </row>
    <row r="59" spans="1:4" x14ac:dyDescent="0.3">
      <c r="A59" t="s">
        <v>119</v>
      </c>
      <c r="B59" t="s">
        <v>120</v>
      </c>
      <c r="C59" t="s">
        <v>18</v>
      </c>
      <c r="D59" t="e">
        <f>VLOOKUP(A59,'[1]Transaction Data'!$A$2:$D$55,4,FALSE)</f>
        <v>#N/A</v>
      </c>
    </row>
    <row r="60" spans="1:4" x14ac:dyDescent="0.3">
      <c r="A60" t="s">
        <v>121</v>
      </c>
      <c r="B60" t="s">
        <v>122</v>
      </c>
      <c r="C60" t="s">
        <v>18</v>
      </c>
      <c r="D60" t="e">
        <f>VLOOKUP(A60,'[1]Transaction Data'!$A$2:$D$55,4,FALSE)</f>
        <v>#N/A</v>
      </c>
    </row>
    <row r="61" spans="1:4" x14ac:dyDescent="0.3">
      <c r="A61" t="s">
        <v>123</v>
      </c>
      <c r="B61" t="s">
        <v>124</v>
      </c>
      <c r="C61" t="s">
        <v>18</v>
      </c>
      <c r="D61" t="e">
        <f>VLOOKUP(A61,'[1]Transaction Data'!$A$2:$D$55,4,FALSE)</f>
        <v>#N/A</v>
      </c>
    </row>
    <row r="62" spans="1:4" x14ac:dyDescent="0.3">
      <c r="A62" t="s">
        <v>125</v>
      </c>
      <c r="B62" t="s">
        <v>126</v>
      </c>
      <c r="C62" t="s">
        <v>18</v>
      </c>
      <c r="D62" t="e">
        <f>VLOOKUP(A62,'[1]Transaction Data'!$A$2:$D$55,4,FALSE)</f>
        <v>#N/A</v>
      </c>
    </row>
    <row r="63" spans="1:4" x14ac:dyDescent="0.3">
      <c r="A63" t="s">
        <v>127</v>
      </c>
      <c r="B63" t="s">
        <v>128</v>
      </c>
      <c r="C63" t="s">
        <v>18</v>
      </c>
      <c r="D63" t="e">
        <f>VLOOKUP(A63,'[1]Transaction Data'!$A$2:$D$55,4,FALSE)</f>
        <v>#N/A</v>
      </c>
    </row>
    <row r="64" spans="1:4" hidden="1" x14ac:dyDescent="0.3">
      <c r="A64" t="s">
        <v>129</v>
      </c>
      <c r="B64" t="s">
        <v>130</v>
      </c>
      <c r="C64" t="s">
        <v>18</v>
      </c>
      <c r="D64" t="str">
        <f>VLOOKUP(A64,'[1]Transaction Data'!$A$2:$D$55,4,FALSE)</f>
        <v>no</v>
      </c>
    </row>
    <row r="65" spans="1:4" hidden="1" x14ac:dyDescent="0.3">
      <c r="A65" t="s">
        <v>131</v>
      </c>
      <c r="B65" t="s">
        <v>132</v>
      </c>
      <c r="C65" t="s">
        <v>18</v>
      </c>
      <c r="D65" t="str">
        <f>VLOOKUP(A65,'[1]Transaction Data'!$A$2:$D$55,4,FALSE)</f>
        <v>no</v>
      </c>
    </row>
    <row r="66" spans="1:4" hidden="1" x14ac:dyDescent="0.3">
      <c r="A66" t="s">
        <v>133</v>
      </c>
      <c r="B66" t="s">
        <v>134</v>
      </c>
      <c r="C66" t="s">
        <v>18</v>
      </c>
      <c r="D66" t="str">
        <f>VLOOKUP(A66,'[1]Transaction Data'!$A$2:$D$55,4,FALSE)</f>
        <v>no</v>
      </c>
    </row>
  </sheetData>
  <autoFilter ref="A1:D66" xr:uid="{00000000-0001-0000-0000-000000000000}">
    <filterColumn colId="3">
      <filters>
        <filter val="#N/A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917036180999</cp:lastModifiedBy>
  <dcterms:created xsi:type="dcterms:W3CDTF">2026-02-23T13:57:28Z</dcterms:created>
  <dcterms:modified xsi:type="dcterms:W3CDTF">2026-02-23T15:03:42Z</dcterms:modified>
</cp:coreProperties>
</file>