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fc4bd521ffc22738/Desktop/Freelancing/AIGEN/smartsentry_aml_model/EDA/"/>
    </mc:Choice>
  </mc:AlternateContent>
  <xr:revisionPtr revIDLastSave="0" documentId="8_{15DE1FDF-ED92-40B0-AE79-D9BB4D895D9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1_FIS_Overview" sheetId="1" r:id="rId1"/>
    <sheet name="2_Worked_Examples" sheetId="2" r:id="rId2"/>
    <sheet name="3_Comparison_Tabl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7" i="2" l="1"/>
  <c r="B46" i="2"/>
  <c r="D42" i="2"/>
  <c r="B38" i="2"/>
  <c r="B37" i="2"/>
  <c r="D33" i="2"/>
  <c r="B29" i="2"/>
  <c r="B28" i="2"/>
  <c r="D24" i="2"/>
  <c r="B20" i="2"/>
  <c r="B19" i="2"/>
  <c r="D15" i="2"/>
  <c r="B11" i="2"/>
  <c r="B10" i="2"/>
  <c r="D6" i="2"/>
</calcChain>
</file>

<file path=xl/sharedStrings.xml><?xml version="1.0" encoding="utf-8"?>
<sst xmlns="http://schemas.openxmlformats.org/spreadsheetml/2006/main" count="297" uniqueCount="162">
  <si>
    <t>Fraud Intensity Score (FIS) — Formula Reference &amp; Example Walkthrough</t>
  </si>
  <si>
    <t>AML SmartSentry — v2  |  Customer-risk-free model  |  4 components, weights sum to 100</t>
  </si>
  <si>
    <t>A.  What is the Fraud Intensity Score?</t>
  </si>
  <si>
    <t>The FIS is a composite 0–100 score that aggregates four independent risk signals into a single actionable number. It is computed per transaction using normalised sub-scores, then scaled against the 99th-percentile (p99) of the raw score distribution across the full dataset. Scores above 80 are considered Critical and should be escalated.</t>
  </si>
  <si>
    <t>B.  Component Weights</t>
  </si>
  <si>
    <t>#</t>
  </si>
  <si>
    <t>Component</t>
  </si>
  <si>
    <t>Weight</t>
  </si>
  <si>
    <t>Input Features</t>
  </si>
  <si>
    <t>AML Rationale</t>
  </si>
  <si>
    <t>1</t>
  </si>
  <si>
    <t>Rule Risk</t>
  </si>
  <si>
    <t>35%</t>
  </si>
  <si>
    <t>weighted_rule_score  ÷  max(weighted_rule_score across dataset)</t>
  </si>
  <si>
    <t>Captures how many AML rules fired and at what severity. Highest weight — rule triggers are the primary investigator signal.</t>
  </si>
  <si>
    <t>2</t>
  </si>
  <si>
    <t>Behavioural Risk</t>
  </si>
  <si>
    <t>30%</t>
  </si>
  <si>
    <t>(velocity_ratio + amount_spike_ratio) ÷ 2
velocity_ratio = txn_count_1h ÷ (txn_count_30d+1), clipped to 5
amount_spike_ratio = amount ÷ (outflow_30d÷30 + 1), clipped to 5</t>
  </si>
  <si>
    <t>Detects burst velocity and unusual amount relative to the account's 30-day baseline. Catches ATO and smurfing bursts.</t>
  </si>
  <si>
    <t>3</t>
  </si>
  <si>
    <t>IP Risk</t>
  </si>
  <si>
    <t>18%</t>
  </si>
  <si>
    <t>ip_risk_score  (normalised 0–1; auto-scaled if raw is 0–100)</t>
  </si>
  <si>
    <t>High-risk IP prefixes (Tor exits, hosting ranges) correlate strongly with ATO and fraudulent remote access.</t>
  </si>
  <si>
    <t>4</t>
  </si>
  <si>
    <t>Device Risk</t>
  </si>
  <si>
    <t>17%</t>
  </si>
  <si>
    <t>(vpn_flag + rooted_flag + emulator_flag) ÷ 3</t>
  </si>
  <si>
    <t>Device integrity flags — VPN hides location, rooted device bypasses app controls, emulator suggests automation/bot.</t>
  </si>
  <si>
    <t>FIS Band</t>
  </si>
  <si>
    <t>Band</t>
  </si>
  <si>
    <t>Score Range</t>
  </si>
  <si>
    <t>Action</t>
  </si>
  <si>
    <t>Typical Profile</t>
  </si>
  <si>
    <t>very_low</t>
  </si>
  <si>
    <t>0 – 20</t>
  </si>
  <si>
    <t>No action required</t>
  </si>
  <si>
    <t>Low-value, known device, no rules fired</t>
  </si>
  <si>
    <t>low</t>
  </si>
  <si>
    <t>20 – 40</t>
  </si>
  <si>
    <t>Monitor; queue for weekly review</t>
  </si>
  <si>
    <t>1–2 minor rules fired; normal velocity</t>
  </si>
  <si>
    <t>medium</t>
  </si>
  <si>
    <t>40 – 60</t>
  </si>
  <si>
    <t>Flag for analyst review</t>
  </si>
  <si>
    <t>3+ rules; night txn or moderate IP risk</t>
  </si>
  <si>
    <t>high</t>
  </si>
  <si>
    <t>60 – 80</t>
  </si>
  <si>
    <t>Escalate to L2 analyst</t>
  </si>
  <si>
    <t>Multiple rules incl. high-severity; VPN or rooted</t>
  </si>
  <si>
    <t>critical</t>
  </si>
  <si>
    <t>80 – 100</t>
  </si>
  <si>
    <t>Immediate escalation / SAR review</t>
  </si>
  <si>
    <t>ATO pattern, offshore wire, device + IP risk combined</t>
  </si>
  <si>
    <t>Step-by-Step FIS Calculation — 5 Worked Examples</t>
  </si>
  <si>
    <t>Each block shows one transaction. Green = input value from data.  Blue = derived intermediate.  Orange = weighted contribution.  Dark = final score.</t>
  </si>
  <si>
    <t xml:space="preserve">  T182642  |  ₹890.19  |  mobile / UPI  |  IP risk: 0.05  |  Night: Yes  |  Dormant: No</t>
  </si>
  <si>
    <t>Input(s)</t>
  </si>
  <si>
    <t>Raw Value</t>
  </si>
  <si>
    <t>Formula</t>
  </si>
  <si>
    <t>Sub-score (0–1)</t>
  </si>
  <si>
    <t>Contribution</t>
  </si>
  <si>
    <t>Notes</t>
  </si>
  <si>
    <t>1. Rule Risk</t>
  </si>
  <si>
    <t>weighted_rule_score = 5</t>
  </si>
  <si>
    <t>5 / 6  (max in dataset)</t>
  </si>
  <si>
    <t>35</t>
  </si>
  <si>
    <t>3 rules fired, max severity 2</t>
  </si>
  <si>
    <t>2. Behavioural Risk</t>
  </si>
  <si>
    <t>txn_1h=1  txn_30d=1
outflow_30d=₹890.19
amount=₹890.19</t>
  </si>
  <si>
    <t>velocity_ratio  = min(1/(1+1), 5)/5 = 0.5
daily_avg       = (890.19/30)+1 = 30.67
spike_ratio     = min(890.19/30.67, 5)/5 = 0.5
behav           = (0.5+0.5)/2 = 0.5</t>
  </si>
  <si>
    <t>(velocity + spike) ÷ 2</t>
  </si>
  <si>
    <t>30</t>
  </si>
  <si>
    <t>Both accounts with 1 txn in 1h and 30d — identical velocity spike</t>
  </si>
  <si>
    <t>3. IP Risk</t>
  </si>
  <si>
    <t>ip_risk_score = 0.05</t>
  </si>
  <si>
    <t>min(0.05, 1.0) = 0.05</t>
  </si>
  <si>
    <t>clip(ip_risk_score, 0, 1)</t>
  </si>
  <si>
    <t>18</t>
  </si>
  <si>
    <t>Low-risk private IP</t>
  </si>
  <si>
    <t>4. Device Risk</t>
  </si>
  <si>
    <t>vpn=0  rooted=0  emulator=0</t>
  </si>
  <si>
    <t>(0+0+0) / 3 = 0.0</t>
  </si>
  <si>
    <t>(vpn + rooted + emulator) ÷ 3</t>
  </si>
  <si>
    <t>17</t>
  </si>
  <si>
    <t>No device risk flags set</t>
  </si>
  <si>
    <t>→ Raw Score</t>
  </si>
  <si>
    <t>Sum</t>
  </si>
  <si>
    <t>p99 (full dataset) = 46.226</t>
  </si>
  <si>
    <t>→ FIS (0–100)</t>
  </si>
  <si>
    <t>Band: MEDIUM</t>
  </si>
  <si>
    <t xml:space="preserve">  T76368  |  ₹702.61  |  mobile / UPI  |  IP risk: 0.3  |  Night: Yes  |  Dormant: Yes</t>
  </si>
  <si>
    <t>txn_1h=1  txn_30d=1
outflow_30d=₹702.61
amount=₹702.61</t>
  </si>
  <si>
    <t>velocity_ratio  = min(1/(1+1), 5)/5 = 0.5
daily_avg       = (702.61/30)+1 = 24.42
spike_ratio     = min(702.61/24.42, 5)/5 = 0.5
behav           = (0.5+0.5)/2 = 0.5</t>
  </si>
  <si>
    <t>ip_risk_score = 0.3</t>
  </si>
  <si>
    <t>min(0.3, 1.0) = 0.3</t>
  </si>
  <si>
    <t>Moderate IP — some risk</t>
  </si>
  <si>
    <t>Band: HIGH</t>
  </si>
  <si>
    <t xml:space="preserve">  T28752  |  ₹1,615.11  |  web / RTGS  |  IP risk: 0.75  |  Night: Yes  |  Dormant: No</t>
  </si>
  <si>
    <t>weighted_rule_score = 2</t>
  </si>
  <si>
    <t>2 / 6  (max in dataset)</t>
  </si>
  <si>
    <t>1 rules fired, max severity 2</t>
  </si>
  <si>
    <t>txn_1h=1  txn_30d=1
outflow_30d=₹1,615.11
amount=₹1,615.11</t>
  </si>
  <si>
    <t>velocity_ratio  = min(1/(1+1), 5)/5 = 0.5
daily_avg       = (1615.11/30)+1 = 54.84
spike_ratio     = min(1615.11/54.84, 5)/5 = 0.5
behav           = (0.5+0.5)/2 = 0.5</t>
  </si>
  <si>
    <t>ip_risk_score = 0.75</t>
  </si>
  <si>
    <t>min(0.75, 1.0) = 0.75</t>
  </si>
  <si>
    <t>High-risk IP range (198.96.x.x known TOR)</t>
  </si>
  <si>
    <t xml:space="preserve">  T170521  |  ₹17,698.91  |  mobile / UPI  |  IP risk: 0.05  |  Night: Yes  |  Dormant: No</t>
  </si>
  <si>
    <t>txn_1h=1  txn_30d=1
outflow_30d=₹17,698.91
amount=₹17,698.91</t>
  </si>
  <si>
    <t>velocity_ratio  = min(1/(1+1), 5)/5 = 0.5
daily_avg       = (17698.91/30)+1 = 590.63
spike_ratio     = min(17698.91/590.63, 5)/5 = 0.5
behav           = (0.5+0.5)/2 = 0.5</t>
  </si>
  <si>
    <t xml:space="preserve">  T149339  |  ₹588.09  |  mobile / IMPS  |  IP risk: 0.05  |  Night: Yes  |  Dormant: No</t>
  </si>
  <si>
    <t>weighted_rule_score = 6</t>
  </si>
  <si>
    <t>6 / 6  (max in dataset)</t>
  </si>
  <si>
    <t>txn_1h=1  txn_30d=1
outflow_30d=₹588.09
amount=₹588.09</t>
  </si>
  <si>
    <t>velocity_ratio  = min(1/(1+1), 5)/5 = 0.5
daily_avg       = (588.09/30)+1 = 20.60
spike_ratio     = min(588.09/20.60, 5)/5 = 0.5
behav           = (0.5+0.5)/2 = 0.5</t>
  </si>
  <si>
    <t>FIS Score — Side-by-Side Comparison (All 5 Transactions)</t>
  </si>
  <si>
    <t>Metric / Component</t>
  </si>
  <si>
    <t>T182642</t>
  </si>
  <si>
    <t>T76368</t>
  </si>
  <si>
    <t>T28752</t>
  </si>
  <si>
    <t>T170521</t>
  </si>
  <si>
    <t>T149339</t>
  </si>
  <si>
    <t>── INPUTS ──────────────────</t>
  </si>
  <si>
    <t>Amount (₹)</t>
  </si>
  <si>
    <t>Channel / Type</t>
  </si>
  <si>
    <t>mobile / UPI</t>
  </si>
  <si>
    <t>web / RTGS</t>
  </si>
  <si>
    <t>mobile / IMPS</t>
  </si>
  <si>
    <t>weighted_rule_score</t>
  </si>
  <si>
    <t>rule_trigger_count</t>
  </si>
  <si>
    <t>txn_count_1h</t>
  </si>
  <si>
    <t>txn_count_30d</t>
  </si>
  <si>
    <t>outflow_amt_30d (₹)</t>
  </si>
  <si>
    <t>ip_risk_score</t>
  </si>
  <si>
    <t>vpn / rooted / emulator flags</t>
  </si>
  <si>
    <t>0 / 0 / 0</t>
  </si>
  <si>
    <t>── INTERMEDIATES ──────────</t>
  </si>
  <si>
    <t>rule_risk</t>
  </si>
  <si>
    <t>velocity_ratio</t>
  </si>
  <si>
    <t>daily_avg_outflow (₹)</t>
  </si>
  <si>
    <t>amount_spike_ratio</t>
  </si>
  <si>
    <t>behaviour_risk</t>
  </si>
  <si>
    <t>ip_risk</t>
  </si>
  <si>
    <t>device_risk</t>
  </si>
  <si>
    <t>── WEIGHTED CONTRIBUTIONS ─</t>
  </si>
  <si>
    <t>rule_risk × 35</t>
  </si>
  <si>
    <t>behaviour_risk × 30</t>
  </si>
  <si>
    <t>ip_risk × 18</t>
  </si>
  <si>
    <t>device_risk × 17</t>
  </si>
  <si>
    <t>── FINAL ──────────────────</t>
  </si>
  <si>
    <t>Raw Score</t>
  </si>
  <si>
    <t>FIS Score (0–100)</t>
  </si>
  <si>
    <t>MEDIUM</t>
  </si>
  <si>
    <t>HIGH</t>
  </si>
  <si>
    <t>Key Observations from These 5 Transactions</t>
  </si>
  <si>
    <t>①  T28752 scores highest (74.45) despite only 1 rule fired — because its IP (198.96.x.x) is a known TOR exit node (ip_risk_score = 0.75), contributing 13.5 points to the raw score alone.</t>
  </si>
  <si>
    <t>②  T76368 scores 64.45 despite identical rule/device profile to T182642 (53.63) purely due to a higher ip_risk_score (0.30 vs 0.05). The 0.25 IP difference contributes 4.5 extra raw points → +11 FIS points after scaling.</t>
  </si>
  <si>
    <t>③  T170521 scores lowest (44.17) despite having the largest amount (₹17,699) — the amount_spike_ratio is capped at 0.5 because both 1h-count and 30d-count are 1, keeping behaviour_risk at baseline.</t>
  </si>
  <si>
    <t>④  All 5 transactions have identical behaviour_risk (0.5000) because they each have exactly 1 txn in the 1h and 30d windows, creating the same velocity ratio and spike ratio.</t>
  </si>
  <si>
    <t>⑤  No transaction has device risk (vpn=0, rooted=0, emulator=0 for all), so the 17-point device weight contributes zero — making IP risk the main differentiator among these examples.</t>
  </si>
  <si>
    <t>C.  FIS Band 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</si>
</sst>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7" x14ac:knownFonts="1">
    <font>
      <sz val="11"/>
      <color theme="1"/>
      <name val="Calibri"/>
      <family val="2"/>
      <scheme val="minor"/>
    </font>
    <font>
      <b/>
      <sz val="16"/>
      <color rgb="FF1F3864"/>
      <name val="Arial"/>
    </font>
    <font>
      <i/>
      <sz val="10"/>
      <color rgb="FF555555"/>
      <name val="Arial"/>
    </font>
    <font>
      <b/>
      <sz val="13"/>
      <color rgb="FF1F3864"/>
      <name val="Arial"/>
    </font>
    <font>
      <sz val="10"/>
      <color rgb="FF333333"/>
      <name val="Arial"/>
    </font>
    <font>
      <b/>
      <sz val="10"/>
      <color rgb="FFFFFFFF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15"/>
      <color rgb="FF1F3864"/>
      <name val="Arial"/>
    </font>
    <font>
      <i/>
      <sz val="9"/>
      <color rgb="FF666666"/>
      <name val="Arial"/>
    </font>
    <font>
      <b/>
      <sz val="11"/>
      <color rgb="FFFFFFFF"/>
      <name val="Arial"/>
    </font>
    <font>
      <sz val="8"/>
      <color rgb="FF1F3864"/>
      <name val="Courier New"/>
    </font>
    <font>
      <sz val="8"/>
      <color rgb="FF000000"/>
      <name val="Arial"/>
    </font>
    <font>
      <sz val="10"/>
      <color rgb="FFADD8E6"/>
      <name val="Arial"/>
    </font>
    <font>
      <b/>
      <sz val="10"/>
      <color rgb="FFF4B942"/>
      <name val="Arial"/>
    </font>
    <font>
      <sz val="8"/>
      <color rgb="FFFFFFFF"/>
      <name val="Arial"/>
    </font>
    <font>
      <b/>
      <sz val="11"/>
      <color rgb="FF000000"/>
      <name val="Arial"/>
    </font>
    <font>
      <sz val="9"/>
      <color rgb="FF000000"/>
      <name val="Arial"/>
    </font>
    <font>
      <b/>
      <sz val="12"/>
      <color rgb="FF000000"/>
      <name val="Arial"/>
    </font>
    <font>
      <b/>
      <sz val="14"/>
      <color rgb="FF1F3864"/>
      <name val="Arial"/>
    </font>
    <font>
      <b/>
      <sz val="9"/>
      <color rgb="FF111111"/>
      <name val="Arial"/>
    </font>
    <font>
      <sz val="9"/>
      <color rgb="FF1F4E79"/>
      <name val="Arial"/>
    </font>
    <font>
      <sz val="9"/>
      <color rgb="FF7F3C01"/>
      <name val="Arial"/>
    </font>
    <font>
      <sz val="9"/>
      <color rgb="FFFFFFFF"/>
      <name val="Arial"/>
    </font>
    <font>
      <b/>
      <sz val="9"/>
      <color rgb="FFFFFFFF"/>
      <name val="Arial"/>
    </font>
    <font>
      <sz val="9"/>
      <color rgb="FF333333"/>
      <name val="Arial"/>
    </font>
    <font>
      <b/>
      <sz val="9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1F3864"/>
      </patternFill>
    </fill>
    <fill>
      <patternFill patternType="solid">
        <fgColor rgb="FFEBF3FB"/>
      </patternFill>
    </fill>
    <fill>
      <patternFill patternType="solid">
        <fgColor rgb="FFD6E4F0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C6EFCE"/>
      </patternFill>
    </fill>
    <fill>
      <patternFill patternType="solid">
        <fgColor rgb="FFFCE4D6"/>
      </patternFill>
    </fill>
    <fill>
      <patternFill patternType="solid">
        <fgColor rgb="FFF4CCCC"/>
      </patternFill>
    </fill>
    <fill>
      <patternFill patternType="solid">
        <fgColor rgb="FF2E75B6"/>
      </patternFill>
    </fill>
    <fill>
      <patternFill patternType="solid">
        <fgColor rgb="FF374151"/>
      </patternFill>
    </fill>
    <fill>
      <patternFill patternType="solid">
        <fgColor rgb="FFDAEEF3"/>
      </patternFill>
    </fill>
    <fill>
      <patternFill patternType="solid">
        <fgColor rgb="FFF4B942"/>
      </patternFill>
    </fill>
    <fill>
      <patternFill patternType="solid">
        <fgColor rgb="FFF2F2F2"/>
      </patternFill>
    </fill>
    <fill>
      <patternFill patternType="solid">
        <fgColor rgb="FFFFF9EC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5" fillId="3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left" vertical="center"/>
    </xf>
    <xf numFmtId="0" fontId="6" fillId="8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left" vertical="center" wrapText="1"/>
    </xf>
    <xf numFmtId="0" fontId="7" fillId="9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left" vertical="center"/>
    </xf>
    <xf numFmtId="0" fontId="6" fillId="9" borderId="1" xfId="0" applyFont="1" applyFill="1" applyBorder="1" applyAlignment="1">
      <alignment horizontal="left" vertical="center" wrapText="1"/>
    </xf>
    <xf numFmtId="0" fontId="7" fillId="10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left" vertical="center"/>
    </xf>
    <xf numFmtId="0" fontId="6" fillId="10" borderId="1" xfId="0" applyFont="1" applyFill="1" applyBorder="1" applyAlignment="1">
      <alignment horizontal="left" vertical="center" wrapText="1"/>
    </xf>
    <xf numFmtId="0" fontId="5" fillId="12" borderId="1" xfId="0" applyFont="1" applyFill="1" applyBorder="1" applyAlignment="1">
      <alignment horizontal="center" vertical="center" wrapText="1"/>
    </xf>
    <xf numFmtId="0" fontId="6" fillId="13" borderId="1" xfId="0" applyFont="1" applyFill="1" applyBorder="1" applyAlignment="1">
      <alignment horizontal="left" vertical="center"/>
    </xf>
    <xf numFmtId="0" fontId="11" fillId="13" borderId="1" xfId="0" applyFont="1" applyFill="1" applyBorder="1" applyAlignment="1">
      <alignment horizontal="left" vertical="center"/>
    </xf>
    <xf numFmtId="164" fontId="6" fillId="13" borderId="1" xfId="0" applyNumberFormat="1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horizontal="center" vertical="center"/>
    </xf>
    <xf numFmtId="2" fontId="5" fillId="14" borderId="1" xfId="0" applyNumberFormat="1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left" vertical="center" wrapText="1"/>
    </xf>
    <xf numFmtId="0" fontId="12" fillId="13" borderId="1" xfId="0" applyFont="1" applyFill="1" applyBorder="1" applyAlignment="1">
      <alignment horizontal="left" vertical="center" wrapText="1"/>
    </xf>
    <xf numFmtId="0" fontId="11" fillId="1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/>
    </xf>
    <xf numFmtId="2" fontId="14" fillId="3" borderId="1" xfId="0" applyNumberFormat="1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left" vertical="center"/>
    </xf>
    <xf numFmtId="0" fontId="16" fillId="7" borderId="1" xfId="0" applyFont="1" applyFill="1" applyBorder="1" applyAlignment="1">
      <alignment horizontal="left" vertical="center"/>
    </xf>
    <xf numFmtId="2" fontId="18" fillId="7" borderId="1" xfId="0" applyNumberFormat="1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left" vertical="center"/>
    </xf>
    <xf numFmtId="2" fontId="18" fillId="9" borderId="1" xfId="0" applyNumberFormat="1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left" vertical="center"/>
    </xf>
    <xf numFmtId="4" fontId="17" fillId="2" borderId="1" xfId="0" applyNumberFormat="1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/>
    </xf>
    <xf numFmtId="164" fontId="17" fillId="2" borderId="1" xfId="0" applyNumberFormat="1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left" vertical="center"/>
    </xf>
    <xf numFmtId="164" fontId="21" fillId="5" borderId="1" xfId="0" applyNumberFormat="1" applyFont="1" applyFill="1" applyBorder="1" applyAlignment="1">
      <alignment horizontal="center" vertical="center"/>
    </xf>
    <xf numFmtId="4" fontId="21" fillId="5" borderId="1" xfId="0" applyNumberFormat="1" applyFont="1" applyFill="1" applyBorder="1" applyAlignment="1">
      <alignment horizontal="center" vertical="center"/>
    </xf>
    <xf numFmtId="0" fontId="22" fillId="16" borderId="1" xfId="0" applyFont="1" applyFill="1" applyBorder="1" applyAlignment="1">
      <alignment horizontal="left" vertical="center"/>
    </xf>
    <xf numFmtId="4" fontId="22" fillId="16" borderId="1" xfId="0" applyNumberFormat="1" applyFont="1" applyFill="1" applyBorder="1" applyAlignment="1">
      <alignment horizontal="center" vertical="center"/>
    </xf>
    <xf numFmtId="0" fontId="23" fillId="3" borderId="1" xfId="0" applyFont="1" applyFill="1" applyBorder="1" applyAlignment="1">
      <alignment horizontal="left" vertical="center"/>
    </xf>
    <xf numFmtId="4" fontId="24" fillId="3" borderId="1" xfId="0" applyNumberFormat="1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5" fillId="3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left" vertical="center"/>
    </xf>
    <xf numFmtId="0" fontId="0" fillId="0" borderId="0" xfId="0"/>
    <xf numFmtId="0" fontId="2" fillId="0" borderId="0" xfId="0" applyFont="1"/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10" fillId="11" borderId="0" xfId="0" applyFont="1" applyFill="1" applyAlignment="1">
      <alignment horizontal="left" vertical="center"/>
    </xf>
    <xf numFmtId="0" fontId="17" fillId="9" borderId="1" xfId="0" applyFont="1" applyFill="1" applyBorder="1" applyAlignment="1">
      <alignment horizontal="left" vertical="center" wrapText="1"/>
    </xf>
    <xf numFmtId="0" fontId="13" fillId="3" borderId="1" xfId="0" applyFont="1" applyFill="1" applyBorder="1" applyAlignment="1">
      <alignment horizontal="left" vertical="center" wrapText="1"/>
    </xf>
    <xf numFmtId="0" fontId="17" fillId="7" borderId="1" xfId="0" applyFont="1" applyFill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8" fillId="0" borderId="0" xfId="0" applyFont="1"/>
    <xf numFmtId="0" fontId="25" fillId="2" borderId="1" xfId="0" applyFont="1" applyFill="1" applyBorder="1" applyAlignment="1">
      <alignment horizontal="left" vertical="center" wrapText="1"/>
    </xf>
    <xf numFmtId="0" fontId="20" fillId="15" borderId="1" xfId="0" applyFont="1" applyFill="1" applyBorder="1" applyAlignment="1">
      <alignment horizontal="left" vertical="center"/>
    </xf>
    <xf numFmtId="0" fontId="25" fillId="4" borderId="1" xfId="0" applyFont="1" applyFill="1" applyBorder="1" applyAlignment="1">
      <alignment horizontal="left" vertical="center" wrapText="1"/>
    </xf>
    <xf numFmtId="0" fontId="19" fillId="0" borderId="0" xfId="0" applyFont="1"/>
    <xf numFmtId="0" fontId="0" fillId="0" borderId="0" xfId="0" applyAlignment="1">
      <alignment horizontal="center"/>
    </xf>
    <xf numFmtId="0" fontId="26" fillId="7" borderId="1" xfId="0" applyFont="1" applyFill="1" applyBorder="1" applyAlignment="1">
      <alignment horizontal="center" vertical="center"/>
    </xf>
    <xf numFmtId="0" fontId="26" fillId="9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showGridLines="0" tabSelected="1" workbookViewId="0">
      <selection activeCell="A14" sqref="A14"/>
    </sheetView>
  </sheetViews>
  <sheetFormatPr defaultRowHeight="14.4" x14ac:dyDescent="0.3"/>
  <cols>
    <col min="1" max="1" width="10.21875" style="76" customWidth="1"/>
    <col min="2" max="2" width="32" customWidth="1"/>
    <col min="3" max="4" width="22" customWidth="1"/>
    <col min="5" max="5" width="55" customWidth="1"/>
  </cols>
  <sheetData>
    <row r="1" spans="1:5" ht="40.049999999999997" customHeight="1" x14ac:dyDescent="0.3">
      <c r="A1" s="64" t="s">
        <v>0</v>
      </c>
      <c r="B1" s="62"/>
      <c r="C1" s="62"/>
      <c r="D1" s="62"/>
      <c r="E1" s="62"/>
    </row>
    <row r="2" spans="1:5" x14ac:dyDescent="0.3">
      <c r="A2" s="63" t="s">
        <v>1</v>
      </c>
      <c r="B2" s="62"/>
      <c r="C2" s="62"/>
      <c r="D2" s="62"/>
      <c r="E2" s="62"/>
    </row>
    <row r="4" spans="1:5" ht="22.05" customHeight="1" x14ac:dyDescent="0.3">
      <c r="A4" s="61" t="s">
        <v>2</v>
      </c>
      <c r="B4" s="62"/>
      <c r="C4" s="62"/>
      <c r="D4" s="62"/>
      <c r="E4" s="62"/>
    </row>
    <row r="5" spans="1:5" ht="49.95" customHeight="1" x14ac:dyDescent="0.3">
      <c r="A5" s="65" t="s">
        <v>3</v>
      </c>
      <c r="B5" s="62"/>
      <c r="C5" s="62"/>
      <c r="D5" s="62"/>
      <c r="E5" s="62"/>
    </row>
    <row r="7" spans="1:5" ht="22.05" customHeight="1" x14ac:dyDescent="0.3">
      <c r="A7" s="61" t="s">
        <v>4</v>
      </c>
      <c r="B7" s="62"/>
      <c r="C7" s="62"/>
      <c r="D7" s="62"/>
      <c r="E7" s="62"/>
    </row>
    <row r="8" spans="1:5" ht="30" customHeight="1" x14ac:dyDescent="0.3">
      <c r="A8" s="1" t="s">
        <v>5</v>
      </c>
      <c r="B8" s="1" t="s">
        <v>6</v>
      </c>
      <c r="C8" s="1" t="s">
        <v>7</v>
      </c>
      <c r="D8" s="1" t="s">
        <v>8</v>
      </c>
      <c r="E8" s="60" t="s">
        <v>9</v>
      </c>
    </row>
    <row r="9" spans="1:5" ht="55.95" customHeight="1" x14ac:dyDescent="0.3">
      <c r="A9" s="3" t="s">
        <v>10</v>
      </c>
      <c r="B9" s="2" t="s">
        <v>11</v>
      </c>
      <c r="C9" s="3" t="s">
        <v>12</v>
      </c>
      <c r="D9" s="4" t="s">
        <v>13</v>
      </c>
      <c r="E9" s="4" t="s">
        <v>14</v>
      </c>
    </row>
    <row r="10" spans="1:5" ht="55.95" customHeight="1" x14ac:dyDescent="0.3">
      <c r="A10" s="6" t="s">
        <v>15</v>
      </c>
      <c r="B10" s="5" t="s">
        <v>16</v>
      </c>
      <c r="C10" s="6" t="s">
        <v>17</v>
      </c>
      <c r="D10" s="7" t="s">
        <v>18</v>
      </c>
      <c r="E10" s="7" t="s">
        <v>19</v>
      </c>
    </row>
    <row r="11" spans="1:5" ht="55.95" customHeight="1" x14ac:dyDescent="0.3">
      <c r="A11" s="3" t="s">
        <v>20</v>
      </c>
      <c r="B11" s="2" t="s">
        <v>21</v>
      </c>
      <c r="C11" s="3" t="s">
        <v>22</v>
      </c>
      <c r="D11" s="4" t="s">
        <v>23</v>
      </c>
      <c r="E11" s="4" t="s">
        <v>24</v>
      </c>
    </row>
    <row r="12" spans="1:5" ht="55.95" customHeight="1" x14ac:dyDescent="0.3">
      <c r="A12" s="6" t="s">
        <v>25</v>
      </c>
      <c r="B12" s="5" t="s">
        <v>26</v>
      </c>
      <c r="C12" s="6" t="s">
        <v>27</v>
      </c>
      <c r="D12" s="7" t="s">
        <v>28</v>
      </c>
      <c r="E12" s="7" t="s">
        <v>29</v>
      </c>
    </row>
    <row r="13" spans="1:5" ht="22.05" customHeight="1" x14ac:dyDescent="0.3">
      <c r="A13" s="61" t="s">
        <v>161</v>
      </c>
      <c r="B13" s="62"/>
      <c r="C13" s="62"/>
      <c r="D13" s="62"/>
      <c r="E13" s="62"/>
    </row>
    <row r="14" spans="1:5" x14ac:dyDescent="0.3">
      <c r="A14" s="11" t="s">
        <v>31</v>
      </c>
      <c r="B14" s="11" t="s">
        <v>32</v>
      </c>
      <c r="C14" s="11" t="s">
        <v>33</v>
      </c>
      <c r="D14" s="11" t="s">
        <v>34</v>
      </c>
    </row>
    <row r="15" spans="1:5" ht="30" customHeight="1" x14ac:dyDescent="0.3">
      <c r="A15" s="12" t="s">
        <v>35</v>
      </c>
      <c r="B15" s="13" t="s">
        <v>36</v>
      </c>
      <c r="C15" s="14" t="s">
        <v>37</v>
      </c>
      <c r="D15" s="15" t="s">
        <v>38</v>
      </c>
    </row>
    <row r="16" spans="1:5" ht="30" customHeight="1" x14ac:dyDescent="0.3">
      <c r="A16" s="9" t="s">
        <v>39</v>
      </c>
      <c r="B16" s="16" t="s">
        <v>40</v>
      </c>
      <c r="C16" s="17" t="s">
        <v>41</v>
      </c>
      <c r="D16" s="18" t="s">
        <v>42</v>
      </c>
    </row>
    <row r="17" spans="1:4" ht="30" customHeight="1" x14ac:dyDescent="0.3">
      <c r="A17" s="10" t="s">
        <v>43</v>
      </c>
      <c r="B17" s="19" t="s">
        <v>44</v>
      </c>
      <c r="C17" s="20" t="s">
        <v>45</v>
      </c>
      <c r="D17" s="21" t="s">
        <v>46</v>
      </c>
    </row>
    <row r="18" spans="1:4" ht="30" customHeight="1" x14ac:dyDescent="0.3">
      <c r="A18" s="22" t="s">
        <v>47</v>
      </c>
      <c r="B18" s="23" t="s">
        <v>48</v>
      </c>
      <c r="C18" s="24" t="s">
        <v>49</v>
      </c>
      <c r="D18" s="25" t="s">
        <v>50</v>
      </c>
    </row>
    <row r="19" spans="1:4" ht="30" customHeight="1" x14ac:dyDescent="0.3">
      <c r="A19" s="26" t="s">
        <v>51</v>
      </c>
      <c r="B19" s="27" t="s">
        <v>52</v>
      </c>
      <c r="C19" s="28" t="s">
        <v>53</v>
      </c>
      <c r="D19" s="29" t="s">
        <v>54</v>
      </c>
    </row>
  </sheetData>
  <mergeCells count="7">
    <mergeCell ref="A2:E2"/>
    <mergeCell ref="A7:E7"/>
    <mergeCell ref="A1:E1"/>
    <mergeCell ref="A5:E5"/>
    <mergeCell ref="E8"/>
    <mergeCell ref="A4:E4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7"/>
  <sheetViews>
    <sheetView showGridLines="0" workbookViewId="0">
      <selection sqref="A1:H1"/>
    </sheetView>
  </sheetViews>
  <sheetFormatPr defaultRowHeight="14.4" x14ac:dyDescent="0.3"/>
  <cols>
    <col min="1" max="1" width="21.6640625" customWidth="1"/>
    <col min="2" max="2" width="30" customWidth="1"/>
    <col min="3" max="3" width="31.88671875" customWidth="1"/>
    <col min="4" max="4" width="30.109375" customWidth="1"/>
    <col min="5" max="8" width="18" customWidth="1"/>
  </cols>
  <sheetData>
    <row r="1" spans="1:8" ht="36" customHeight="1" x14ac:dyDescent="0.35">
      <c r="A1" s="71" t="s">
        <v>55</v>
      </c>
      <c r="B1" s="62"/>
      <c r="C1" s="62"/>
      <c r="D1" s="62"/>
      <c r="E1" s="62"/>
      <c r="F1" s="62"/>
      <c r="G1" s="62"/>
      <c r="H1" s="62"/>
    </row>
    <row r="2" spans="1:8" ht="22.05" customHeight="1" x14ac:dyDescent="0.3">
      <c r="A2" s="70" t="s">
        <v>56</v>
      </c>
      <c r="B2" s="62"/>
      <c r="C2" s="62"/>
      <c r="D2" s="62"/>
      <c r="E2" s="62"/>
      <c r="F2" s="62"/>
      <c r="G2" s="62"/>
      <c r="H2" s="62"/>
    </row>
    <row r="4" spans="1:8" ht="28.05" customHeight="1" x14ac:dyDescent="0.3">
      <c r="A4" s="66" t="s">
        <v>57</v>
      </c>
      <c r="B4" s="62"/>
      <c r="C4" s="62"/>
      <c r="D4" s="62"/>
      <c r="E4" s="62"/>
      <c r="F4" s="62"/>
      <c r="G4" s="62"/>
      <c r="H4" s="62"/>
    </row>
    <row r="5" spans="1:8" ht="22.05" customHeight="1" x14ac:dyDescent="0.3">
      <c r="A5" s="30" t="s">
        <v>6</v>
      </c>
      <c r="B5" s="30" t="s">
        <v>58</v>
      </c>
      <c r="C5" s="30" t="s">
        <v>59</v>
      </c>
      <c r="D5" s="30" t="s">
        <v>60</v>
      </c>
      <c r="E5" s="30" t="s">
        <v>61</v>
      </c>
      <c r="F5" s="30" t="s">
        <v>7</v>
      </c>
      <c r="G5" s="30" t="s">
        <v>62</v>
      </c>
      <c r="H5" s="30" t="s">
        <v>63</v>
      </c>
    </row>
    <row r="6" spans="1:8" ht="30" customHeight="1" x14ac:dyDescent="0.3">
      <c r="A6" s="8" t="s">
        <v>64</v>
      </c>
      <c r="B6" s="31" t="s">
        <v>65</v>
      </c>
      <c r="C6" s="31" t="s">
        <v>66</v>
      </c>
      <c r="D6" s="32" t="e">
        <f>wt_rule_score / max_wt_rule_score</f>
        <v>#NAME?</v>
      </c>
      <c r="E6" s="33">
        <v>0.21110000000000001</v>
      </c>
      <c r="F6" s="34" t="s">
        <v>67</v>
      </c>
      <c r="G6" s="35">
        <v>7.3884999999999996</v>
      </c>
      <c r="H6" s="36" t="s">
        <v>68</v>
      </c>
    </row>
    <row r="7" spans="1:8" ht="49.95" customHeight="1" x14ac:dyDescent="0.3">
      <c r="A7" s="8" t="s">
        <v>69</v>
      </c>
      <c r="B7" s="37" t="s">
        <v>70</v>
      </c>
      <c r="C7" s="37" t="s">
        <v>71</v>
      </c>
      <c r="D7" s="38" t="s">
        <v>72</v>
      </c>
      <c r="E7" s="33">
        <v>0.5</v>
      </c>
      <c r="F7" s="34" t="s">
        <v>73</v>
      </c>
      <c r="G7" s="35">
        <v>15</v>
      </c>
      <c r="H7" s="36" t="s">
        <v>74</v>
      </c>
    </row>
    <row r="8" spans="1:8" ht="30" customHeight="1" x14ac:dyDescent="0.3">
      <c r="A8" s="8" t="s">
        <v>75</v>
      </c>
      <c r="B8" s="31" t="s">
        <v>76</v>
      </c>
      <c r="C8" s="31" t="s">
        <v>77</v>
      </c>
      <c r="D8" s="32" t="s">
        <v>78</v>
      </c>
      <c r="E8" s="33">
        <v>0.05</v>
      </c>
      <c r="F8" s="34" t="s">
        <v>79</v>
      </c>
      <c r="G8" s="35">
        <v>0.9</v>
      </c>
      <c r="H8" s="36" t="s">
        <v>80</v>
      </c>
    </row>
    <row r="9" spans="1:8" ht="30" customHeight="1" x14ac:dyDescent="0.3">
      <c r="A9" s="8" t="s">
        <v>81</v>
      </c>
      <c r="B9" s="31" t="s">
        <v>82</v>
      </c>
      <c r="C9" s="31" t="s">
        <v>83</v>
      </c>
      <c r="D9" s="32" t="s">
        <v>84</v>
      </c>
      <c r="E9" s="33">
        <v>0</v>
      </c>
      <c r="F9" s="34" t="s">
        <v>85</v>
      </c>
      <c r="G9" s="35">
        <v>0</v>
      </c>
      <c r="H9" s="36" t="s">
        <v>86</v>
      </c>
    </row>
    <row r="10" spans="1:8" ht="25.95" customHeight="1" x14ac:dyDescent="0.3">
      <c r="A10" s="39" t="s">
        <v>87</v>
      </c>
      <c r="B10" s="68">
        <f>7.39 + 15 + 0.9 + 0</f>
        <v>23.29</v>
      </c>
      <c r="C10" s="58"/>
      <c r="D10" s="58"/>
      <c r="E10" s="59"/>
      <c r="F10" s="11" t="s">
        <v>88</v>
      </c>
      <c r="G10" s="40">
        <v>24.79</v>
      </c>
      <c r="H10" s="41" t="s">
        <v>89</v>
      </c>
    </row>
    <row r="11" spans="1:8" ht="25.95" customHeight="1" x14ac:dyDescent="0.3">
      <c r="A11" s="42" t="s">
        <v>90</v>
      </c>
      <c r="B11" s="69" t="b">
        <f>MIN(24.79 / 46.226, 1) * 100  =  53.63</f>
        <v>0</v>
      </c>
      <c r="C11" s="58"/>
      <c r="D11" s="58"/>
      <c r="E11" s="58"/>
      <c r="F11" s="59"/>
      <c r="G11" s="43">
        <v>53.63</v>
      </c>
      <c r="H11" s="10" t="s">
        <v>91</v>
      </c>
    </row>
    <row r="13" spans="1:8" ht="28.05" customHeight="1" x14ac:dyDescent="0.3">
      <c r="A13" s="66" t="s">
        <v>92</v>
      </c>
      <c r="B13" s="62"/>
      <c r="C13" s="62"/>
      <c r="D13" s="62"/>
      <c r="E13" s="62"/>
      <c r="F13" s="62"/>
      <c r="G13" s="62"/>
      <c r="H13" s="62"/>
    </row>
    <row r="14" spans="1:8" ht="22.05" customHeight="1" x14ac:dyDescent="0.3">
      <c r="A14" s="30" t="s">
        <v>6</v>
      </c>
      <c r="B14" s="30" t="s">
        <v>58</v>
      </c>
      <c r="C14" s="30" t="s">
        <v>59</v>
      </c>
      <c r="D14" s="30" t="s">
        <v>60</v>
      </c>
      <c r="E14" s="30" t="s">
        <v>61</v>
      </c>
      <c r="F14" s="30" t="s">
        <v>7</v>
      </c>
      <c r="G14" s="30" t="s">
        <v>62</v>
      </c>
      <c r="H14" s="30" t="s">
        <v>63</v>
      </c>
    </row>
    <row r="15" spans="1:8" ht="30" customHeight="1" x14ac:dyDescent="0.3">
      <c r="A15" s="8" t="s">
        <v>64</v>
      </c>
      <c r="B15" s="31" t="s">
        <v>65</v>
      </c>
      <c r="C15" s="31" t="s">
        <v>66</v>
      </c>
      <c r="D15" s="32" t="e">
        <f>wt_rule_score / max_wt_rule_score</f>
        <v>#NAME?</v>
      </c>
      <c r="E15" s="33">
        <v>0.22539999999999999</v>
      </c>
      <c r="F15" s="34" t="s">
        <v>67</v>
      </c>
      <c r="G15" s="35">
        <v>7.8890000000000002</v>
      </c>
      <c r="H15" s="36" t="s">
        <v>68</v>
      </c>
    </row>
    <row r="16" spans="1:8" ht="49.95" customHeight="1" x14ac:dyDescent="0.3">
      <c r="A16" s="8" t="s">
        <v>69</v>
      </c>
      <c r="B16" s="37" t="s">
        <v>93</v>
      </c>
      <c r="C16" s="37" t="s">
        <v>94</v>
      </c>
      <c r="D16" s="38" t="s">
        <v>72</v>
      </c>
      <c r="E16" s="33">
        <v>0.5</v>
      </c>
      <c r="F16" s="34" t="s">
        <v>73</v>
      </c>
      <c r="G16" s="35">
        <v>15</v>
      </c>
      <c r="H16" s="36" t="s">
        <v>74</v>
      </c>
    </row>
    <row r="17" spans="1:8" ht="30" customHeight="1" x14ac:dyDescent="0.3">
      <c r="A17" s="8" t="s">
        <v>75</v>
      </c>
      <c r="B17" s="31" t="s">
        <v>95</v>
      </c>
      <c r="C17" s="31" t="s">
        <v>96</v>
      </c>
      <c r="D17" s="32" t="s">
        <v>78</v>
      </c>
      <c r="E17" s="33">
        <v>0.3</v>
      </c>
      <c r="F17" s="34" t="s">
        <v>79</v>
      </c>
      <c r="G17" s="35">
        <v>5.4</v>
      </c>
      <c r="H17" s="36" t="s">
        <v>97</v>
      </c>
    </row>
    <row r="18" spans="1:8" ht="30" customHeight="1" x14ac:dyDescent="0.3">
      <c r="A18" s="8" t="s">
        <v>81</v>
      </c>
      <c r="B18" s="31" t="s">
        <v>82</v>
      </c>
      <c r="C18" s="31" t="s">
        <v>83</v>
      </c>
      <c r="D18" s="32" t="s">
        <v>84</v>
      </c>
      <c r="E18" s="33">
        <v>0</v>
      </c>
      <c r="F18" s="34" t="s">
        <v>85</v>
      </c>
      <c r="G18" s="35">
        <v>0</v>
      </c>
      <c r="H18" s="36" t="s">
        <v>86</v>
      </c>
    </row>
    <row r="19" spans="1:8" ht="25.95" customHeight="1" x14ac:dyDescent="0.3">
      <c r="A19" s="39" t="s">
        <v>87</v>
      </c>
      <c r="B19" s="68">
        <f>7.89 + 15 + 5.4 + 0</f>
        <v>28.29</v>
      </c>
      <c r="C19" s="58"/>
      <c r="D19" s="58"/>
      <c r="E19" s="59"/>
      <c r="F19" s="11" t="s">
        <v>88</v>
      </c>
      <c r="G19" s="40">
        <v>29.79</v>
      </c>
      <c r="H19" s="41" t="s">
        <v>89</v>
      </c>
    </row>
    <row r="20" spans="1:8" ht="25.95" customHeight="1" x14ac:dyDescent="0.3">
      <c r="A20" s="44" t="s">
        <v>90</v>
      </c>
      <c r="B20" s="67" t="b">
        <f>MIN(29.79 / 46.226, 1) * 100  =  64.45</f>
        <v>0</v>
      </c>
      <c r="C20" s="58"/>
      <c r="D20" s="58"/>
      <c r="E20" s="58"/>
      <c r="F20" s="59"/>
      <c r="G20" s="45">
        <v>64.45</v>
      </c>
      <c r="H20" s="22" t="s">
        <v>98</v>
      </c>
    </row>
    <row r="22" spans="1:8" ht="28.05" customHeight="1" x14ac:dyDescent="0.3">
      <c r="A22" s="66" t="s">
        <v>99</v>
      </c>
      <c r="B22" s="62"/>
      <c r="C22" s="62"/>
      <c r="D22" s="62"/>
      <c r="E22" s="62"/>
      <c r="F22" s="62"/>
      <c r="G22" s="62"/>
      <c r="H22" s="62"/>
    </row>
    <row r="23" spans="1:8" ht="22.05" customHeight="1" x14ac:dyDescent="0.3">
      <c r="A23" s="30" t="s">
        <v>6</v>
      </c>
      <c r="B23" s="30" t="s">
        <v>58</v>
      </c>
      <c r="C23" s="30" t="s">
        <v>59</v>
      </c>
      <c r="D23" s="30" t="s">
        <v>60</v>
      </c>
      <c r="E23" s="30" t="s">
        <v>61</v>
      </c>
      <c r="F23" s="30" t="s">
        <v>7</v>
      </c>
      <c r="G23" s="30" t="s">
        <v>62</v>
      </c>
      <c r="H23" s="30" t="s">
        <v>63</v>
      </c>
    </row>
    <row r="24" spans="1:8" ht="30" customHeight="1" x14ac:dyDescent="0.3">
      <c r="A24" s="8" t="s">
        <v>64</v>
      </c>
      <c r="B24" s="31" t="s">
        <v>100</v>
      </c>
      <c r="C24" s="31" t="s">
        <v>101</v>
      </c>
      <c r="D24" s="32" t="e">
        <f>wt_rule_score / max_wt_rule_score</f>
        <v>#NAME?</v>
      </c>
      <c r="E24" s="33">
        <v>0.1263</v>
      </c>
      <c r="F24" s="34" t="s">
        <v>67</v>
      </c>
      <c r="G24" s="35">
        <v>4.4204999999999997</v>
      </c>
      <c r="H24" s="36" t="s">
        <v>102</v>
      </c>
    </row>
    <row r="25" spans="1:8" ht="49.95" customHeight="1" x14ac:dyDescent="0.3">
      <c r="A25" s="8" t="s">
        <v>69</v>
      </c>
      <c r="B25" s="37" t="s">
        <v>103</v>
      </c>
      <c r="C25" s="37" t="s">
        <v>104</v>
      </c>
      <c r="D25" s="38" t="s">
        <v>72</v>
      </c>
      <c r="E25" s="33">
        <v>0.5</v>
      </c>
      <c r="F25" s="34" t="s">
        <v>73</v>
      </c>
      <c r="G25" s="35">
        <v>15</v>
      </c>
      <c r="H25" s="36" t="s">
        <v>74</v>
      </c>
    </row>
    <row r="26" spans="1:8" ht="30" customHeight="1" x14ac:dyDescent="0.3">
      <c r="A26" s="8" t="s">
        <v>75</v>
      </c>
      <c r="B26" s="31" t="s">
        <v>105</v>
      </c>
      <c r="C26" s="31" t="s">
        <v>106</v>
      </c>
      <c r="D26" s="32" t="s">
        <v>78</v>
      </c>
      <c r="E26" s="33">
        <v>0.75</v>
      </c>
      <c r="F26" s="34" t="s">
        <v>79</v>
      </c>
      <c r="G26" s="35">
        <v>13.5</v>
      </c>
      <c r="H26" s="36" t="s">
        <v>107</v>
      </c>
    </row>
    <row r="27" spans="1:8" ht="30" customHeight="1" x14ac:dyDescent="0.3">
      <c r="A27" s="8" t="s">
        <v>81</v>
      </c>
      <c r="B27" s="31" t="s">
        <v>82</v>
      </c>
      <c r="C27" s="31" t="s">
        <v>83</v>
      </c>
      <c r="D27" s="32" t="s">
        <v>84</v>
      </c>
      <c r="E27" s="33">
        <v>0</v>
      </c>
      <c r="F27" s="34" t="s">
        <v>85</v>
      </c>
      <c r="G27" s="35">
        <v>0</v>
      </c>
      <c r="H27" s="36" t="s">
        <v>86</v>
      </c>
    </row>
    <row r="28" spans="1:8" ht="25.95" customHeight="1" x14ac:dyDescent="0.3">
      <c r="A28" s="39" t="s">
        <v>87</v>
      </c>
      <c r="B28" s="68">
        <f>4.42 + 15 + 13.5 + 0</f>
        <v>32.92</v>
      </c>
      <c r="C28" s="58"/>
      <c r="D28" s="58"/>
      <c r="E28" s="59"/>
      <c r="F28" s="11" t="s">
        <v>88</v>
      </c>
      <c r="G28" s="40">
        <v>34.42</v>
      </c>
      <c r="H28" s="41" t="s">
        <v>89</v>
      </c>
    </row>
    <row r="29" spans="1:8" ht="25.95" customHeight="1" x14ac:dyDescent="0.3">
      <c r="A29" s="44" t="s">
        <v>90</v>
      </c>
      <c r="B29" s="67" t="b">
        <f>MIN(34.42 / 46.226, 1) * 100  =  74.45</f>
        <v>0</v>
      </c>
      <c r="C29" s="58"/>
      <c r="D29" s="58"/>
      <c r="E29" s="58"/>
      <c r="F29" s="59"/>
      <c r="G29" s="45">
        <v>74.45</v>
      </c>
      <c r="H29" s="22" t="s">
        <v>98</v>
      </c>
    </row>
    <row r="31" spans="1:8" ht="28.05" customHeight="1" x14ac:dyDescent="0.3">
      <c r="A31" s="66" t="s">
        <v>108</v>
      </c>
      <c r="B31" s="62"/>
      <c r="C31" s="62"/>
      <c r="D31" s="62"/>
      <c r="E31" s="62"/>
      <c r="F31" s="62"/>
      <c r="G31" s="62"/>
      <c r="H31" s="62"/>
    </row>
    <row r="32" spans="1:8" ht="22.05" customHeight="1" x14ac:dyDescent="0.3">
      <c r="A32" s="30" t="s">
        <v>6</v>
      </c>
      <c r="B32" s="30" t="s">
        <v>58</v>
      </c>
      <c r="C32" s="30" t="s">
        <v>59</v>
      </c>
      <c r="D32" s="30" t="s">
        <v>60</v>
      </c>
      <c r="E32" s="30" t="s">
        <v>61</v>
      </c>
      <c r="F32" s="30" t="s">
        <v>7</v>
      </c>
      <c r="G32" s="30" t="s">
        <v>62</v>
      </c>
      <c r="H32" s="30" t="s">
        <v>63</v>
      </c>
    </row>
    <row r="33" spans="1:8" ht="30" customHeight="1" x14ac:dyDescent="0.3">
      <c r="A33" s="8" t="s">
        <v>64</v>
      </c>
      <c r="B33" s="31" t="s">
        <v>100</v>
      </c>
      <c r="C33" s="31" t="s">
        <v>101</v>
      </c>
      <c r="D33" s="32" t="e">
        <f>wt_rule_score / max_wt_rule_score</f>
        <v>#NAME?</v>
      </c>
      <c r="E33" s="33">
        <v>8.6300000000000002E-2</v>
      </c>
      <c r="F33" s="34" t="s">
        <v>67</v>
      </c>
      <c r="G33" s="35">
        <v>3.0205000000000002</v>
      </c>
      <c r="H33" s="36" t="s">
        <v>102</v>
      </c>
    </row>
    <row r="34" spans="1:8" ht="49.95" customHeight="1" x14ac:dyDescent="0.3">
      <c r="A34" s="8" t="s">
        <v>69</v>
      </c>
      <c r="B34" s="37" t="s">
        <v>109</v>
      </c>
      <c r="C34" s="37" t="s">
        <v>110</v>
      </c>
      <c r="D34" s="38" t="s">
        <v>72</v>
      </c>
      <c r="E34" s="33">
        <v>0.5</v>
      </c>
      <c r="F34" s="34" t="s">
        <v>73</v>
      </c>
      <c r="G34" s="35">
        <v>15</v>
      </c>
      <c r="H34" s="36" t="s">
        <v>74</v>
      </c>
    </row>
    <row r="35" spans="1:8" ht="30" customHeight="1" x14ac:dyDescent="0.3">
      <c r="A35" s="8" t="s">
        <v>75</v>
      </c>
      <c r="B35" s="31" t="s">
        <v>76</v>
      </c>
      <c r="C35" s="31" t="s">
        <v>77</v>
      </c>
      <c r="D35" s="32" t="s">
        <v>78</v>
      </c>
      <c r="E35" s="33">
        <v>0.05</v>
      </c>
      <c r="F35" s="34" t="s">
        <v>79</v>
      </c>
      <c r="G35" s="35">
        <v>0.9</v>
      </c>
      <c r="H35" s="36" t="s">
        <v>80</v>
      </c>
    </row>
    <row r="36" spans="1:8" ht="30" customHeight="1" x14ac:dyDescent="0.3">
      <c r="A36" s="8" t="s">
        <v>81</v>
      </c>
      <c r="B36" s="31" t="s">
        <v>82</v>
      </c>
      <c r="C36" s="31" t="s">
        <v>83</v>
      </c>
      <c r="D36" s="32" t="s">
        <v>84</v>
      </c>
      <c r="E36" s="33">
        <v>0</v>
      </c>
      <c r="F36" s="34" t="s">
        <v>85</v>
      </c>
      <c r="G36" s="35">
        <v>0</v>
      </c>
      <c r="H36" s="36" t="s">
        <v>86</v>
      </c>
    </row>
    <row r="37" spans="1:8" ht="25.95" customHeight="1" x14ac:dyDescent="0.3">
      <c r="A37" s="39" t="s">
        <v>87</v>
      </c>
      <c r="B37" s="68">
        <f>3.02 + 15 + 0.9 + 0</f>
        <v>18.919999999999998</v>
      </c>
      <c r="C37" s="58"/>
      <c r="D37" s="58"/>
      <c r="E37" s="59"/>
      <c r="F37" s="11" t="s">
        <v>88</v>
      </c>
      <c r="G37" s="40">
        <v>20.420000000000002</v>
      </c>
      <c r="H37" s="41" t="s">
        <v>89</v>
      </c>
    </row>
    <row r="38" spans="1:8" ht="25.95" customHeight="1" x14ac:dyDescent="0.3">
      <c r="A38" s="42" t="s">
        <v>90</v>
      </c>
      <c r="B38" s="69" t="b">
        <f>MIN(20.42 / 46.226, 1) * 100  =  44.17</f>
        <v>0</v>
      </c>
      <c r="C38" s="58"/>
      <c r="D38" s="58"/>
      <c r="E38" s="58"/>
      <c r="F38" s="59"/>
      <c r="G38" s="43">
        <v>44.17</v>
      </c>
      <c r="H38" s="10" t="s">
        <v>91</v>
      </c>
    </row>
    <row r="40" spans="1:8" ht="28.05" customHeight="1" x14ac:dyDescent="0.3">
      <c r="A40" s="66" t="s">
        <v>111</v>
      </c>
      <c r="B40" s="62"/>
      <c r="C40" s="62"/>
      <c r="D40" s="62"/>
      <c r="E40" s="62"/>
      <c r="F40" s="62"/>
      <c r="G40" s="62"/>
      <c r="H40" s="62"/>
    </row>
    <row r="41" spans="1:8" ht="22.05" customHeight="1" x14ac:dyDescent="0.3">
      <c r="A41" s="30" t="s">
        <v>6</v>
      </c>
      <c r="B41" s="30" t="s">
        <v>58</v>
      </c>
      <c r="C41" s="30" t="s">
        <v>59</v>
      </c>
      <c r="D41" s="30" t="s">
        <v>60</v>
      </c>
      <c r="E41" s="30" t="s">
        <v>61</v>
      </c>
      <c r="F41" s="30" t="s">
        <v>7</v>
      </c>
      <c r="G41" s="30" t="s">
        <v>62</v>
      </c>
      <c r="H41" s="30" t="s">
        <v>63</v>
      </c>
    </row>
    <row r="42" spans="1:8" ht="30" customHeight="1" x14ac:dyDescent="0.3">
      <c r="A42" s="8" t="s">
        <v>64</v>
      </c>
      <c r="B42" s="31" t="s">
        <v>112</v>
      </c>
      <c r="C42" s="31" t="s">
        <v>113</v>
      </c>
      <c r="D42" s="32" t="e">
        <f>wt_rule_score / max_wt_rule_score</f>
        <v>#NAME?</v>
      </c>
      <c r="E42" s="33">
        <v>0.25290000000000001</v>
      </c>
      <c r="F42" s="34" t="s">
        <v>67</v>
      </c>
      <c r="G42" s="35">
        <v>8.8514999999999997</v>
      </c>
      <c r="H42" s="36" t="s">
        <v>68</v>
      </c>
    </row>
    <row r="43" spans="1:8" ht="49.95" customHeight="1" x14ac:dyDescent="0.3">
      <c r="A43" s="8" t="s">
        <v>69</v>
      </c>
      <c r="B43" s="37" t="s">
        <v>114</v>
      </c>
      <c r="C43" s="37" t="s">
        <v>115</v>
      </c>
      <c r="D43" s="38" t="s">
        <v>72</v>
      </c>
      <c r="E43" s="33">
        <v>0.5</v>
      </c>
      <c r="F43" s="34" t="s">
        <v>73</v>
      </c>
      <c r="G43" s="35">
        <v>15</v>
      </c>
      <c r="H43" s="36" t="s">
        <v>74</v>
      </c>
    </row>
    <row r="44" spans="1:8" ht="30" customHeight="1" x14ac:dyDescent="0.3">
      <c r="A44" s="8" t="s">
        <v>75</v>
      </c>
      <c r="B44" s="31" t="s">
        <v>76</v>
      </c>
      <c r="C44" s="31" t="s">
        <v>77</v>
      </c>
      <c r="D44" s="32" t="s">
        <v>78</v>
      </c>
      <c r="E44" s="33">
        <v>0.05</v>
      </c>
      <c r="F44" s="34" t="s">
        <v>79</v>
      </c>
      <c r="G44" s="35">
        <v>0.9</v>
      </c>
      <c r="H44" s="36" t="s">
        <v>80</v>
      </c>
    </row>
    <row r="45" spans="1:8" ht="30" customHeight="1" x14ac:dyDescent="0.3">
      <c r="A45" s="8" t="s">
        <v>81</v>
      </c>
      <c r="B45" s="31" t="s">
        <v>82</v>
      </c>
      <c r="C45" s="31" t="s">
        <v>83</v>
      </c>
      <c r="D45" s="32" t="s">
        <v>84</v>
      </c>
      <c r="E45" s="33">
        <v>0</v>
      </c>
      <c r="F45" s="34" t="s">
        <v>85</v>
      </c>
      <c r="G45" s="35">
        <v>0</v>
      </c>
      <c r="H45" s="36" t="s">
        <v>86</v>
      </c>
    </row>
    <row r="46" spans="1:8" ht="25.95" customHeight="1" x14ac:dyDescent="0.3">
      <c r="A46" s="39" t="s">
        <v>87</v>
      </c>
      <c r="B46" s="68">
        <f>8.85 + 15 + 0.9 + 0</f>
        <v>24.75</v>
      </c>
      <c r="C46" s="58"/>
      <c r="D46" s="58"/>
      <c r="E46" s="59"/>
      <c r="F46" s="11" t="s">
        <v>88</v>
      </c>
      <c r="G46" s="40">
        <v>26.25</v>
      </c>
      <c r="H46" s="41" t="s">
        <v>89</v>
      </c>
    </row>
    <row r="47" spans="1:8" ht="25.95" customHeight="1" x14ac:dyDescent="0.3">
      <c r="A47" s="42" t="s">
        <v>90</v>
      </c>
      <c r="B47" s="69" t="b">
        <f>MIN(26.25 / 46.226, 1) * 100  =  56.79</f>
        <v>0</v>
      </c>
      <c r="C47" s="58"/>
      <c r="D47" s="58"/>
      <c r="E47" s="58"/>
      <c r="F47" s="59"/>
      <c r="G47" s="43">
        <v>56.79</v>
      </c>
      <c r="H47" s="10" t="s">
        <v>91</v>
      </c>
    </row>
  </sheetData>
  <mergeCells count="17">
    <mergeCell ref="A2:H2"/>
    <mergeCell ref="B11:F11"/>
    <mergeCell ref="A13:H13"/>
    <mergeCell ref="B19:E19"/>
    <mergeCell ref="A1:H1"/>
    <mergeCell ref="B10:E10"/>
    <mergeCell ref="A4:H4"/>
    <mergeCell ref="B29:F29"/>
    <mergeCell ref="B46:E46"/>
    <mergeCell ref="B38:F38"/>
    <mergeCell ref="B47:F47"/>
    <mergeCell ref="B20:F20"/>
    <mergeCell ref="B37:E37"/>
    <mergeCell ref="B28:E28"/>
    <mergeCell ref="A31:H31"/>
    <mergeCell ref="A22:H22"/>
    <mergeCell ref="A40:H4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6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32" sqref="A32:F32"/>
    </sheetView>
  </sheetViews>
  <sheetFormatPr defaultRowHeight="14.4" x14ac:dyDescent="0.3"/>
  <cols>
    <col min="1" max="1" width="28" customWidth="1"/>
    <col min="2" max="6" width="14" customWidth="1"/>
  </cols>
  <sheetData>
    <row r="1" spans="1:6" ht="30" customHeight="1" x14ac:dyDescent="0.3">
      <c r="A1" s="75" t="s">
        <v>116</v>
      </c>
      <c r="B1" s="62"/>
      <c r="C1" s="62"/>
      <c r="D1" s="62"/>
      <c r="E1" s="62"/>
      <c r="F1" s="62"/>
    </row>
    <row r="2" spans="1:6" ht="22.05" customHeight="1" x14ac:dyDescent="0.3">
      <c r="A2" s="11" t="s">
        <v>117</v>
      </c>
      <c r="B2" s="46" t="s">
        <v>118</v>
      </c>
      <c r="C2" s="46" t="s">
        <v>119</v>
      </c>
      <c r="D2" s="46" t="s">
        <v>120</v>
      </c>
      <c r="E2" s="46" t="s">
        <v>121</v>
      </c>
      <c r="F2" s="46" t="s">
        <v>122</v>
      </c>
    </row>
    <row r="3" spans="1:6" ht="19.95" customHeight="1" x14ac:dyDescent="0.3">
      <c r="A3" s="73" t="s">
        <v>123</v>
      </c>
      <c r="B3" s="58"/>
      <c r="C3" s="58"/>
      <c r="D3" s="58"/>
      <c r="E3" s="58"/>
      <c r="F3" s="59"/>
    </row>
    <row r="4" spans="1:6" ht="19.95" customHeight="1" x14ac:dyDescent="0.3">
      <c r="A4" s="47" t="s">
        <v>124</v>
      </c>
      <c r="B4" s="48">
        <v>890.19</v>
      </c>
      <c r="C4" s="48">
        <v>702.61</v>
      </c>
      <c r="D4" s="48">
        <v>1615.11</v>
      </c>
      <c r="E4" s="48">
        <v>17698.91</v>
      </c>
      <c r="F4" s="48">
        <v>588.09</v>
      </c>
    </row>
    <row r="5" spans="1:6" ht="19.95" customHeight="1" x14ac:dyDescent="0.3">
      <c r="A5" s="47" t="s">
        <v>125</v>
      </c>
      <c r="B5" s="49" t="s">
        <v>126</v>
      </c>
      <c r="C5" s="49" t="s">
        <v>126</v>
      </c>
      <c r="D5" s="49" t="s">
        <v>127</v>
      </c>
      <c r="E5" s="49" t="s">
        <v>126</v>
      </c>
      <c r="F5" s="49" t="s">
        <v>128</v>
      </c>
    </row>
    <row r="6" spans="1:6" ht="19.95" customHeight="1" x14ac:dyDescent="0.3">
      <c r="A6" s="47" t="s">
        <v>129</v>
      </c>
      <c r="B6" s="49">
        <v>5</v>
      </c>
      <c r="C6" s="49">
        <v>5</v>
      </c>
      <c r="D6" s="49">
        <v>2</v>
      </c>
      <c r="E6" s="49">
        <v>2</v>
      </c>
      <c r="F6" s="49">
        <v>6</v>
      </c>
    </row>
    <row r="7" spans="1:6" ht="19.95" customHeight="1" x14ac:dyDescent="0.3">
      <c r="A7" s="47" t="s">
        <v>130</v>
      </c>
      <c r="B7" s="49">
        <v>3</v>
      </c>
      <c r="C7" s="49">
        <v>3</v>
      </c>
      <c r="D7" s="49">
        <v>1</v>
      </c>
      <c r="E7" s="49">
        <v>1</v>
      </c>
      <c r="F7" s="49">
        <v>3</v>
      </c>
    </row>
    <row r="8" spans="1:6" ht="19.95" customHeight="1" x14ac:dyDescent="0.3">
      <c r="A8" s="47" t="s">
        <v>131</v>
      </c>
      <c r="B8" s="49">
        <v>1</v>
      </c>
      <c r="C8" s="49">
        <v>1</v>
      </c>
      <c r="D8" s="49">
        <v>1</v>
      </c>
      <c r="E8" s="49">
        <v>1</v>
      </c>
      <c r="F8" s="49">
        <v>1</v>
      </c>
    </row>
    <row r="9" spans="1:6" ht="19.95" customHeight="1" x14ac:dyDescent="0.3">
      <c r="A9" s="47" t="s">
        <v>132</v>
      </c>
      <c r="B9" s="49">
        <v>1</v>
      </c>
      <c r="C9" s="49">
        <v>1</v>
      </c>
      <c r="D9" s="49">
        <v>1</v>
      </c>
      <c r="E9" s="49">
        <v>1</v>
      </c>
      <c r="F9" s="49">
        <v>1</v>
      </c>
    </row>
    <row r="10" spans="1:6" ht="19.95" customHeight="1" x14ac:dyDescent="0.3">
      <c r="A10" s="47" t="s">
        <v>133</v>
      </c>
      <c r="B10" s="48">
        <v>890.19</v>
      </c>
      <c r="C10" s="48">
        <v>702.61</v>
      </c>
      <c r="D10" s="48">
        <v>1615.11</v>
      </c>
      <c r="E10" s="48">
        <v>17698.91</v>
      </c>
      <c r="F10" s="48">
        <v>588.09</v>
      </c>
    </row>
    <row r="11" spans="1:6" ht="19.95" customHeight="1" x14ac:dyDescent="0.3">
      <c r="A11" s="47" t="s">
        <v>134</v>
      </c>
      <c r="B11" s="50">
        <v>0.05</v>
      </c>
      <c r="C11" s="50">
        <v>0.3</v>
      </c>
      <c r="D11" s="50">
        <v>0.75</v>
      </c>
      <c r="E11" s="50">
        <v>0.05</v>
      </c>
      <c r="F11" s="50">
        <v>0.05</v>
      </c>
    </row>
    <row r="12" spans="1:6" ht="19.95" customHeight="1" x14ac:dyDescent="0.3">
      <c r="A12" s="47" t="s">
        <v>135</v>
      </c>
      <c r="B12" s="49" t="s">
        <v>136</v>
      </c>
      <c r="C12" s="49" t="s">
        <v>136</v>
      </c>
      <c r="D12" s="49" t="s">
        <v>136</v>
      </c>
      <c r="E12" s="49" t="s">
        <v>136</v>
      </c>
      <c r="F12" s="49" t="s">
        <v>136</v>
      </c>
    </row>
    <row r="13" spans="1:6" ht="19.95" customHeight="1" x14ac:dyDescent="0.3">
      <c r="A13" s="73" t="s">
        <v>137</v>
      </c>
      <c r="B13" s="58"/>
      <c r="C13" s="58"/>
      <c r="D13" s="58"/>
      <c r="E13" s="58"/>
      <c r="F13" s="59"/>
    </row>
    <row r="14" spans="1:6" ht="19.95" customHeight="1" x14ac:dyDescent="0.3">
      <c r="A14" s="51" t="s">
        <v>138</v>
      </c>
      <c r="B14" s="52">
        <v>0.21110000000000001</v>
      </c>
      <c r="C14" s="52">
        <v>0.22539999999999999</v>
      </c>
      <c r="D14" s="52">
        <v>0.1263</v>
      </c>
      <c r="E14" s="52">
        <v>8.6300000000000002E-2</v>
      </c>
      <c r="F14" s="52">
        <v>0.25290000000000001</v>
      </c>
    </row>
    <row r="15" spans="1:6" ht="19.95" customHeight="1" x14ac:dyDescent="0.3">
      <c r="A15" s="51" t="s">
        <v>139</v>
      </c>
      <c r="B15" s="52">
        <v>0.5</v>
      </c>
      <c r="C15" s="52">
        <v>0.5</v>
      </c>
      <c r="D15" s="52">
        <v>0.5</v>
      </c>
      <c r="E15" s="52">
        <v>0.5</v>
      </c>
      <c r="F15" s="52">
        <v>0.5</v>
      </c>
    </row>
    <row r="16" spans="1:6" ht="19.95" customHeight="1" x14ac:dyDescent="0.3">
      <c r="A16" s="51" t="s">
        <v>140</v>
      </c>
      <c r="B16" s="53">
        <v>30.67</v>
      </c>
      <c r="C16" s="53">
        <v>24.42</v>
      </c>
      <c r="D16" s="53">
        <v>54.84</v>
      </c>
      <c r="E16" s="53">
        <v>590.63</v>
      </c>
      <c r="F16" s="53">
        <v>20.6</v>
      </c>
    </row>
    <row r="17" spans="1:6" ht="19.95" customHeight="1" x14ac:dyDescent="0.3">
      <c r="A17" s="51" t="s">
        <v>141</v>
      </c>
      <c r="B17" s="52">
        <v>0.5</v>
      </c>
      <c r="C17" s="52">
        <v>0.5</v>
      </c>
      <c r="D17" s="52">
        <v>0.5</v>
      </c>
      <c r="E17" s="52">
        <v>0.5</v>
      </c>
      <c r="F17" s="52">
        <v>0.5</v>
      </c>
    </row>
    <row r="18" spans="1:6" ht="19.95" customHeight="1" x14ac:dyDescent="0.3">
      <c r="A18" s="51" t="s">
        <v>142</v>
      </c>
      <c r="B18" s="52">
        <v>0.5</v>
      </c>
      <c r="C18" s="52">
        <v>0.5</v>
      </c>
      <c r="D18" s="52">
        <v>0.5</v>
      </c>
      <c r="E18" s="52">
        <v>0.5</v>
      </c>
      <c r="F18" s="52">
        <v>0.5</v>
      </c>
    </row>
    <row r="19" spans="1:6" ht="19.95" customHeight="1" x14ac:dyDescent="0.3">
      <c r="A19" s="51" t="s">
        <v>143</v>
      </c>
      <c r="B19" s="52">
        <v>0.05</v>
      </c>
      <c r="C19" s="52">
        <v>0.3</v>
      </c>
      <c r="D19" s="52">
        <v>0.75</v>
      </c>
      <c r="E19" s="52">
        <v>0.05</v>
      </c>
      <c r="F19" s="52">
        <v>0.05</v>
      </c>
    </row>
    <row r="20" spans="1:6" ht="19.95" customHeight="1" x14ac:dyDescent="0.3">
      <c r="A20" s="51" t="s">
        <v>144</v>
      </c>
      <c r="B20" s="52">
        <v>0</v>
      </c>
      <c r="C20" s="52">
        <v>0</v>
      </c>
      <c r="D20" s="52">
        <v>0</v>
      </c>
      <c r="E20" s="52">
        <v>0</v>
      </c>
      <c r="F20" s="52">
        <v>0</v>
      </c>
    </row>
    <row r="21" spans="1:6" ht="19.95" customHeight="1" x14ac:dyDescent="0.3">
      <c r="A21" s="73" t="s">
        <v>145</v>
      </c>
      <c r="B21" s="58"/>
      <c r="C21" s="58"/>
      <c r="D21" s="58"/>
      <c r="E21" s="58"/>
      <c r="F21" s="59"/>
    </row>
    <row r="22" spans="1:6" ht="19.95" customHeight="1" x14ac:dyDescent="0.3">
      <c r="A22" s="54" t="s">
        <v>146</v>
      </c>
      <c r="B22" s="55">
        <v>7.3884999999999996</v>
      </c>
      <c r="C22" s="55">
        <v>7.8890000000000002</v>
      </c>
      <c r="D22" s="55">
        <v>4.4204999999999997</v>
      </c>
      <c r="E22" s="55">
        <v>3.0205000000000002</v>
      </c>
      <c r="F22" s="55">
        <v>8.8514999999999997</v>
      </c>
    </row>
    <row r="23" spans="1:6" ht="19.95" customHeight="1" x14ac:dyDescent="0.3">
      <c r="A23" s="54" t="s">
        <v>147</v>
      </c>
      <c r="B23" s="55">
        <v>15</v>
      </c>
      <c r="C23" s="55">
        <v>15</v>
      </c>
      <c r="D23" s="55">
        <v>15</v>
      </c>
      <c r="E23" s="55">
        <v>15</v>
      </c>
      <c r="F23" s="55">
        <v>15</v>
      </c>
    </row>
    <row r="24" spans="1:6" ht="19.95" customHeight="1" x14ac:dyDescent="0.3">
      <c r="A24" s="54" t="s">
        <v>148</v>
      </c>
      <c r="B24" s="55">
        <v>0.9</v>
      </c>
      <c r="C24" s="55">
        <v>5.4</v>
      </c>
      <c r="D24" s="55">
        <v>13.5</v>
      </c>
      <c r="E24" s="55">
        <v>0.9</v>
      </c>
      <c r="F24" s="55">
        <v>0.9</v>
      </c>
    </row>
    <row r="25" spans="1:6" ht="19.95" customHeight="1" x14ac:dyDescent="0.3">
      <c r="A25" s="54" t="s">
        <v>149</v>
      </c>
      <c r="B25" s="55">
        <v>0</v>
      </c>
      <c r="C25" s="55">
        <v>0</v>
      </c>
      <c r="D25" s="55">
        <v>0</v>
      </c>
      <c r="E25" s="55">
        <v>0</v>
      </c>
      <c r="F25" s="55">
        <v>0</v>
      </c>
    </row>
    <row r="26" spans="1:6" ht="19.95" customHeight="1" x14ac:dyDescent="0.3">
      <c r="A26" s="73" t="s">
        <v>150</v>
      </c>
      <c r="B26" s="58"/>
      <c r="C26" s="58"/>
      <c r="D26" s="58"/>
      <c r="E26" s="58"/>
      <c r="F26" s="59"/>
    </row>
    <row r="27" spans="1:6" ht="19.95" customHeight="1" x14ac:dyDescent="0.3">
      <c r="A27" s="56" t="s">
        <v>151</v>
      </c>
      <c r="B27" s="57">
        <v>24.79</v>
      </c>
      <c r="C27" s="57">
        <v>29.79</v>
      </c>
      <c r="D27" s="57">
        <v>34.42</v>
      </c>
      <c r="E27" s="57">
        <v>20.420000000000002</v>
      </c>
      <c r="F27" s="57">
        <v>26.25</v>
      </c>
    </row>
    <row r="28" spans="1:6" ht="19.95" customHeight="1" x14ac:dyDescent="0.3">
      <c r="A28" s="56" t="s">
        <v>152</v>
      </c>
      <c r="B28" s="57">
        <v>53.63</v>
      </c>
      <c r="C28" s="57">
        <v>64.45</v>
      </c>
      <c r="D28" s="57">
        <v>74.45</v>
      </c>
      <c r="E28" s="57">
        <v>44.17</v>
      </c>
      <c r="F28" s="57">
        <v>56.79</v>
      </c>
    </row>
    <row r="29" spans="1:6" ht="19.95" customHeight="1" x14ac:dyDescent="0.3">
      <c r="A29" s="56" t="s">
        <v>30</v>
      </c>
      <c r="B29" s="77" t="s">
        <v>153</v>
      </c>
      <c r="C29" s="78" t="s">
        <v>154</v>
      </c>
      <c r="D29" s="78" t="s">
        <v>154</v>
      </c>
      <c r="E29" s="77" t="s">
        <v>153</v>
      </c>
      <c r="F29" s="77" t="s">
        <v>153</v>
      </c>
    </row>
    <row r="31" spans="1:6" ht="22.05" customHeight="1" x14ac:dyDescent="0.3">
      <c r="A31" s="61" t="s">
        <v>155</v>
      </c>
      <c r="B31" s="62"/>
      <c r="C31" s="62"/>
      <c r="D31" s="62"/>
      <c r="E31" s="62"/>
      <c r="F31" s="62"/>
    </row>
    <row r="32" spans="1:6" ht="36" customHeight="1" x14ac:dyDescent="0.3">
      <c r="A32" s="74" t="s">
        <v>156</v>
      </c>
      <c r="B32" s="58"/>
      <c r="C32" s="58"/>
      <c r="D32" s="58"/>
      <c r="E32" s="58"/>
      <c r="F32" s="59"/>
    </row>
    <row r="33" spans="1:6" ht="36" customHeight="1" x14ac:dyDescent="0.3">
      <c r="A33" s="72" t="s">
        <v>157</v>
      </c>
      <c r="B33" s="58"/>
      <c r="C33" s="58"/>
      <c r="D33" s="58"/>
      <c r="E33" s="58"/>
      <c r="F33" s="59"/>
    </row>
    <row r="34" spans="1:6" ht="36" customHeight="1" x14ac:dyDescent="0.3">
      <c r="A34" s="74" t="s">
        <v>158</v>
      </c>
      <c r="B34" s="58"/>
      <c r="C34" s="58"/>
      <c r="D34" s="58"/>
      <c r="E34" s="58"/>
      <c r="F34" s="59"/>
    </row>
    <row r="35" spans="1:6" ht="36" customHeight="1" x14ac:dyDescent="0.3">
      <c r="A35" s="72" t="s">
        <v>159</v>
      </c>
      <c r="B35" s="58"/>
      <c r="C35" s="58"/>
      <c r="D35" s="58"/>
      <c r="E35" s="58"/>
      <c r="F35" s="59"/>
    </row>
    <row r="36" spans="1:6" ht="36" customHeight="1" x14ac:dyDescent="0.3">
      <c r="A36" s="74" t="s">
        <v>160</v>
      </c>
      <c r="B36" s="58"/>
      <c r="C36" s="58"/>
      <c r="D36" s="58"/>
      <c r="E36" s="58"/>
      <c r="F36" s="59"/>
    </row>
  </sheetData>
  <mergeCells count="11">
    <mergeCell ref="A33:F33"/>
    <mergeCell ref="A13:F13"/>
    <mergeCell ref="A36:F36"/>
    <mergeCell ref="A1:F1"/>
    <mergeCell ref="A32:F32"/>
    <mergeCell ref="A31:F31"/>
    <mergeCell ref="A26:F26"/>
    <mergeCell ref="A34:F34"/>
    <mergeCell ref="A35:F35"/>
    <mergeCell ref="A3:F3"/>
    <mergeCell ref="A21:F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1_FIS_Overview</vt:lpstr>
      <vt:lpstr>2_Worked_Examples</vt:lpstr>
      <vt:lpstr>3_Comparison_Table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917036180999</cp:lastModifiedBy>
  <dcterms:created xsi:type="dcterms:W3CDTF">2026-03-05T09:22:27Z</dcterms:created>
  <dcterms:modified xsi:type="dcterms:W3CDTF">2026-03-05T09:44:12Z</dcterms:modified>
</cp:coreProperties>
</file>