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EDA/"/>
    </mc:Choice>
  </mc:AlternateContent>
  <xr:revisionPtr revIDLastSave="93" documentId="8_{BBF39859-0A13-4A46-B3B3-245A48FC3088}" xr6:coauthVersionLast="47" xr6:coauthVersionMax="47" xr10:uidLastSave="{B788F80B-AB30-4057-82ED-E1F2CC342055}"/>
  <bookViews>
    <workbookView xWindow="-108" yWindow="-108" windowWidth="23256" windowHeight="13896" activeTab="1" xr2:uid="{14D985A3-468C-44D3-B3C0-FD954ABB3BFA}"/>
  </bookViews>
  <sheets>
    <sheet name="Check_FIS_IP_RISK_SCORE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R15" i="1" l="1"/>
  <c r="R27" i="1"/>
  <c r="R26" i="1"/>
  <c r="R21" i="1"/>
  <c r="R24" i="1"/>
  <c r="R23" i="1"/>
  <c r="R22" i="1"/>
  <c r="R19" i="1"/>
  <c r="R17" i="1" s="1"/>
  <c r="R18" i="1"/>
  <c r="R16" i="1"/>
  <c r="R13" i="1"/>
</calcChain>
</file>

<file path=xl/sharedStrings.xml><?xml version="1.0" encoding="utf-8"?>
<sst xmlns="http://schemas.openxmlformats.org/spreadsheetml/2006/main" count="361" uniqueCount="275">
  <si>
    <t>transaction_id</t>
  </si>
  <si>
    <t>customer_id</t>
  </si>
  <si>
    <t>sender_account_id</t>
  </si>
  <si>
    <t>receiver_account_id</t>
  </si>
  <si>
    <t>beneficiary_id</t>
  </si>
  <si>
    <t>device_id</t>
  </si>
  <si>
    <t>timestamp</t>
  </si>
  <si>
    <t>amount</t>
  </si>
  <si>
    <t>channel</t>
  </si>
  <si>
    <t>debit_credit</t>
  </si>
  <si>
    <t>transaction_type</t>
  </si>
  <si>
    <t>cash_flag</t>
  </si>
  <si>
    <t>synthetic_flow_id</t>
  </si>
  <si>
    <t>flow_depth</t>
  </si>
  <si>
    <t>hop_number</t>
  </si>
  <si>
    <t>time_since_origin_ts</t>
  </si>
  <si>
    <t>fraud_type</t>
  </si>
  <si>
    <t>label</t>
  </si>
  <si>
    <t>avg_balance</t>
  </si>
  <si>
    <t>account_open_days</t>
  </si>
  <si>
    <t>kyc_level</t>
  </si>
  <si>
    <t>country_risk</t>
  </si>
  <si>
    <t>income_bracket</t>
  </si>
  <si>
    <t>customer_risk_rating</t>
  </si>
  <si>
    <t>pep_flag</t>
  </si>
  <si>
    <t>occupation</t>
  </si>
  <si>
    <t>industry</t>
  </si>
  <si>
    <t>account_type</t>
  </si>
  <si>
    <t>home_lat</t>
  </si>
  <si>
    <t>home_lon</t>
  </si>
  <si>
    <t>home_city</t>
  </si>
  <si>
    <t>shared_kyc_id</t>
  </si>
  <si>
    <t>shared_phone_hash</t>
  </si>
  <si>
    <t>shared_email_hash</t>
  </si>
  <si>
    <t>device_age_days</t>
  </si>
  <si>
    <t>rooted_flag</t>
  </si>
  <si>
    <t>os_type</t>
  </si>
  <si>
    <t>vpn_flag</t>
  </si>
  <si>
    <t>emulator_flag</t>
  </si>
  <si>
    <t>beneficiary_type</t>
  </si>
  <si>
    <t>beneficiary_country_risk</t>
  </si>
  <si>
    <t>ip_address</t>
  </si>
  <si>
    <t>ip_risk_score</t>
  </si>
  <si>
    <t>geo_lat</t>
  </si>
  <si>
    <t>geo_lon</t>
  </si>
  <si>
    <t>dormancy_flag</t>
  </si>
  <si>
    <t>txn_hour</t>
  </si>
  <si>
    <t>txn_day_of_week</t>
  </si>
  <si>
    <t>txn_day_of_month</t>
  </si>
  <si>
    <t>txn_month</t>
  </si>
  <si>
    <t>txn_year</t>
  </si>
  <si>
    <t>txn_quarter</t>
  </si>
  <si>
    <t>is_weekend</t>
  </si>
  <si>
    <t>is_night</t>
  </si>
  <si>
    <t>is_business_hours</t>
  </si>
  <si>
    <t>is_early_morning</t>
  </si>
  <si>
    <t>txn_date</t>
  </si>
  <si>
    <t>sender_acct_txn_count_1h</t>
  </si>
  <si>
    <t>sender_acct_inflow_amt_1h</t>
  </si>
  <si>
    <t>sender_acct_outflow_amt_1h</t>
  </si>
  <si>
    <t>sender_acct_inflow_count_1h</t>
  </si>
  <si>
    <t>sender_acct_outflow_count_1h</t>
  </si>
  <si>
    <t>sender_acct_txn_count_24h</t>
  </si>
  <si>
    <t>sender_acct_inflow_amt_24h</t>
  </si>
  <si>
    <t>sender_acct_outflow_amt_24h</t>
  </si>
  <si>
    <t>sender_acct_inflow_count_24h</t>
  </si>
  <si>
    <t>sender_acct_outflow_count_24h</t>
  </si>
  <si>
    <t>sender_acct_txn_count_7d</t>
  </si>
  <si>
    <t>sender_acct_inflow_amt_7d</t>
  </si>
  <si>
    <t>sender_acct_outflow_amt_7d</t>
  </si>
  <si>
    <t>sender_acct_inflow_count_7d</t>
  </si>
  <si>
    <t>sender_acct_outflow_count_7d</t>
  </si>
  <si>
    <t>sender_acct_txn_count_30d</t>
  </si>
  <si>
    <t>sender_acct_inflow_amt_30d</t>
  </si>
  <si>
    <t>sender_acct_outflow_amt_30d</t>
  </si>
  <si>
    <t>sender_acct_inflow_count_30d</t>
  </si>
  <si>
    <t>sender_acct_outflow_count_30d</t>
  </si>
  <si>
    <t>sender_cust_id_for_rollup</t>
  </si>
  <si>
    <t>sender_cust_txn_count_1h</t>
  </si>
  <si>
    <t>sender_cust_txn_count_24h</t>
  </si>
  <si>
    <t>sender_cust_txn_count_7d</t>
  </si>
  <si>
    <t>sender_cust_txn_count_30d</t>
  </si>
  <si>
    <t>sender_cust_inflow_amt_1h</t>
  </si>
  <si>
    <t>sender_cust_inflow_amt_24h</t>
  </si>
  <si>
    <t>sender_cust_inflow_amt_7d</t>
  </si>
  <si>
    <t>sender_cust_inflow_amt_30d</t>
  </si>
  <si>
    <t>sender_cust_outflow_amt_1h</t>
  </si>
  <si>
    <t>sender_cust_outflow_amt_24h</t>
  </si>
  <si>
    <t>sender_cust_outflow_amt_7d</t>
  </si>
  <si>
    <t>sender_cust_outflow_amt_30d</t>
  </si>
  <si>
    <t>sender_cust_inflow_count_1h</t>
  </si>
  <si>
    <t>sender_cust_inflow_count_24h</t>
  </si>
  <si>
    <t>sender_cust_inflow_count_7d</t>
  </si>
  <si>
    <t>sender_cust_inflow_count_30d</t>
  </si>
  <si>
    <t>sender_cust_outflow_count_1h</t>
  </si>
  <si>
    <t>sender_cust_outflow_count_24h</t>
  </si>
  <si>
    <t>sender_cust_outflow_count_7d</t>
  </si>
  <si>
    <t>sender_cust_outflow_count_30d</t>
  </si>
  <si>
    <t>sender_balance_before_txn</t>
  </si>
  <si>
    <t>sender_running_balance_txn_amount</t>
  </si>
  <si>
    <t>sender_balance_after_txn</t>
  </si>
  <si>
    <t>sender_cumulative_daily_balance_change</t>
  </si>
  <si>
    <t>sender_current_balance</t>
  </si>
  <si>
    <t>sender_bal_ratio_after_to_current</t>
  </si>
  <si>
    <t>receiver_acct_txn_count_1h</t>
  </si>
  <si>
    <t>receiver_acct_inflow_amt_1h</t>
  </si>
  <si>
    <t>receiver_acct_outflow_amt_1h</t>
  </si>
  <si>
    <t>receiver_acct_inflow_count_1h</t>
  </si>
  <si>
    <t>receiver_acct_outflow_count_1h</t>
  </si>
  <si>
    <t>receiver_acct_txn_count_24h</t>
  </si>
  <si>
    <t>receiver_acct_inflow_amt_24h</t>
  </si>
  <si>
    <t>receiver_acct_outflow_amt_24h</t>
  </si>
  <si>
    <t>receiver_acct_inflow_count_24h</t>
  </si>
  <si>
    <t>receiver_acct_outflow_count_24h</t>
  </si>
  <si>
    <t>receiver_acct_txn_count_7d</t>
  </si>
  <si>
    <t>receiver_acct_inflow_amt_7d</t>
  </si>
  <si>
    <t>receiver_acct_outflow_amt_7d</t>
  </si>
  <si>
    <t>receiver_acct_inflow_count_7d</t>
  </si>
  <si>
    <t>receiver_acct_outflow_count_7d</t>
  </si>
  <si>
    <t>receiver_acct_txn_count_30d</t>
  </si>
  <si>
    <t>receiver_acct_inflow_amt_30d</t>
  </si>
  <si>
    <t>receiver_acct_outflow_amt_30d</t>
  </si>
  <si>
    <t>receiver_acct_inflow_count_30d</t>
  </si>
  <si>
    <t>receiver_acct_outflow_count_30d</t>
  </si>
  <si>
    <t>receiver_balance_before_txn</t>
  </si>
  <si>
    <t>receiver_running_balance_txn_amount</t>
  </si>
  <si>
    <t>receiver_balance_after_txn</t>
  </si>
  <si>
    <t>receiver_cumulative_daily_balance_change</t>
  </si>
  <si>
    <t>receiver_current_balance</t>
  </si>
  <si>
    <t>receiver_bal_ratio_after_to_current</t>
  </si>
  <si>
    <t>rule_large_cash_deposit</t>
  </si>
  <si>
    <t>rule_cash_just_below_threshold</t>
  </si>
  <si>
    <t>rule_high_value_transfer</t>
  </si>
  <si>
    <t>rule_micro_transaction</t>
  </si>
  <si>
    <t>rule_round_amount_large</t>
  </si>
  <si>
    <t>rule_night_transaction</t>
  </si>
  <si>
    <t>rule_weekend_high_value</t>
  </si>
  <si>
    <t>rule_dormant_account_activation</t>
  </si>
  <si>
    <t>rule_high_acct_velocity_1hr</t>
  </si>
  <si>
    <t>rule_high_acct_velocity_24hr</t>
  </si>
  <si>
    <t>rule_high_acct_velocity_7d</t>
  </si>
  <si>
    <t>rule_high_acct_volume_24hr</t>
  </si>
  <si>
    <t>rule_high_acct_volume_7d</t>
  </si>
  <si>
    <t>rule_amount_spike_30d</t>
  </si>
  <si>
    <t>rule_rapid_burst</t>
  </si>
  <si>
    <t>rule_high_cust_velocity_1hr</t>
  </si>
  <si>
    <t>rule_high_cust_velocity_24hr</t>
  </si>
  <si>
    <t>rule_high_cust_volume_24hr</t>
  </si>
  <si>
    <t>rule_high_cust_volume_30d</t>
  </si>
  <si>
    <t>rule_low_kyc_high_amount</t>
  </si>
  <si>
    <t>rule_new_account_large_txn</t>
  </si>
  <si>
    <t>rule_high_amount_to_balance</t>
  </si>
  <si>
    <t>rule_very_high_risk_customer</t>
  </si>
  <si>
    <t>rule_pep_high_value</t>
  </si>
  <si>
    <t>rule_high_risk_country_sender</t>
  </si>
  <si>
    <t>rule_corporate_large_cash</t>
  </si>
  <si>
    <t>rule_high_risk_beneficiary</t>
  </si>
  <si>
    <t>rule_crypto_transfer</t>
  </si>
  <si>
    <t>rule_offshore_transfer</t>
  </si>
  <si>
    <t>rule_high_risk_bene_country</t>
  </si>
  <si>
    <t>rule_rooted_device</t>
  </si>
  <si>
    <t>rule_vpn_proxy_detected</t>
  </si>
  <si>
    <t>rule_emulator_detected</t>
  </si>
  <si>
    <t>rule_new_device_large_txn</t>
  </si>
  <si>
    <t>rule_atm_high_withdrawal</t>
  </si>
  <si>
    <t>rule_branch_night_txn</t>
  </si>
  <si>
    <t>rule_structuring_pattern</t>
  </si>
  <si>
    <t>rule_multiple_small_cash</t>
  </si>
  <si>
    <t>rule_high_risk_industry</t>
  </si>
  <si>
    <t>rule_student_high_value</t>
  </si>
  <si>
    <t>rule_unemployed_large_transfer</t>
  </si>
  <si>
    <t>rule_freelancer_offshore</t>
  </si>
  <si>
    <t>rule_pep_crypto_transfer</t>
  </si>
  <si>
    <t>rule_very_high_risk_offshore</t>
  </si>
  <si>
    <t>rule_low_kyc_offshore</t>
  </si>
  <si>
    <t>rule_low_income_large_txn</t>
  </si>
  <si>
    <t>rule_vpn_offshore</t>
  </si>
  <si>
    <t>rule_emulator_crypto</t>
  </si>
  <si>
    <t>rule_new_account_offshore</t>
  </si>
  <si>
    <t>rule_new_acct_high_cust_velocity</t>
  </si>
  <si>
    <t>rule_trigger_count</t>
  </si>
  <si>
    <t>max_rule_severity</t>
  </si>
  <si>
    <t>weighted_rule_score</t>
  </si>
  <si>
    <t>customer_risk_rating_num</t>
  </si>
  <si>
    <t>kyc_level_num</t>
  </si>
  <si>
    <t>fraud_intensity_score_raw</t>
  </si>
  <si>
    <t>fraud_intensity_score</t>
  </si>
  <si>
    <t>fis_band</t>
  </si>
  <si>
    <t>T58104</t>
  </si>
  <si>
    <t>C1475</t>
  </si>
  <si>
    <t>A1213</t>
  </si>
  <si>
    <t>B3114</t>
  </si>
  <si>
    <t>D1255</t>
  </si>
  <si>
    <t>web</t>
  </si>
  <si>
    <t>debit</t>
  </si>
  <si>
    <t>online_transfer</t>
  </si>
  <si>
    <t>normal</t>
  </si>
  <si>
    <t>high</t>
  </si>
  <si>
    <t>low</t>
  </si>
  <si>
    <t>medium</t>
  </si>
  <si>
    <t>self_employed</t>
  </si>
  <si>
    <t>retail</t>
  </si>
  <si>
    <t>savings</t>
  </si>
  <si>
    <t>Delhi</t>
  </si>
  <si>
    <t>android</t>
  </si>
  <si>
    <t>individual</t>
  </si>
  <si>
    <t>10.64.190.112</t>
  </si>
  <si>
    <t>T147025</t>
  </si>
  <si>
    <t>C2401</t>
  </si>
  <si>
    <t>A3050</t>
  </si>
  <si>
    <t>B1083</t>
  </si>
  <si>
    <t>D1266</t>
  </si>
  <si>
    <t>mobile</t>
  </si>
  <si>
    <t>IMPS</t>
  </si>
  <si>
    <t>education</t>
  </si>
  <si>
    <t>current</t>
  </si>
  <si>
    <t>Bangalore</t>
  </si>
  <si>
    <t>KYC_00029</t>
  </si>
  <si>
    <t>ios</t>
  </si>
  <si>
    <t>10.46.200.250</t>
  </si>
  <si>
    <t>T163425</t>
  </si>
  <si>
    <t>C1973</t>
  </si>
  <si>
    <t>A3395</t>
  </si>
  <si>
    <t>B3421</t>
  </si>
  <si>
    <t>D1284</t>
  </si>
  <si>
    <t>branch</t>
  </si>
  <si>
    <t>cash_withdrawal</t>
  </si>
  <si>
    <t>government_employee</t>
  </si>
  <si>
    <t>real_estate</t>
  </si>
  <si>
    <t>Belgaum</t>
  </si>
  <si>
    <t>crypto</t>
  </si>
  <si>
    <t>77.247.219.1</t>
  </si>
  <si>
    <t>critical</t>
  </si>
  <si>
    <t>T169847</t>
  </si>
  <si>
    <t>C1240</t>
  </si>
  <si>
    <t>A3529</t>
  </si>
  <si>
    <t>A3849</t>
  </si>
  <si>
    <t>D3950</t>
  </si>
  <si>
    <t>NEFT</t>
  </si>
  <si>
    <t>salaried</t>
  </si>
  <si>
    <t>construction</t>
  </si>
  <si>
    <t>Mumbai</t>
  </si>
  <si>
    <t>unknown</t>
  </si>
  <si>
    <t>10.250.27.104</t>
  </si>
  <si>
    <t>T53915</t>
  </si>
  <si>
    <t>C1960</t>
  </si>
  <si>
    <t>A1119</t>
  </si>
  <si>
    <t>B3844</t>
  </si>
  <si>
    <t>D3005</t>
  </si>
  <si>
    <t>very_high</t>
  </si>
  <si>
    <t>student</t>
  </si>
  <si>
    <t>technology</t>
  </si>
  <si>
    <t>KYC_00049</t>
  </si>
  <si>
    <t>10.184.174.228</t>
  </si>
  <si>
    <t>Max Weighted rule score</t>
  </si>
  <si>
    <t>Velocity Ratio</t>
  </si>
  <si>
    <t>Rule Risk (30%)</t>
  </si>
  <si>
    <t>Behavior Risk (25%)</t>
  </si>
  <si>
    <t>Amount Spike</t>
  </si>
  <si>
    <t>Daily Average outflow</t>
  </si>
  <si>
    <t>Amount Spike Ratio</t>
  </si>
  <si>
    <t>Customer Risk (15%)</t>
  </si>
  <si>
    <t>Low → 1</t>
  </si>
  <si>
    <t>Medium → 2</t>
  </si>
  <si>
    <t>High → 3</t>
  </si>
  <si>
    <t>Very High → 4</t>
  </si>
  <si>
    <t>Basic → 1</t>
  </si>
  <si>
    <t>Standard → 2</t>
  </si>
  <si>
    <t>Full → 3</t>
  </si>
  <si>
    <t>Enhanced → 4</t>
  </si>
  <si>
    <t>Risk rating (50%)</t>
  </si>
  <si>
    <t>PEP (30%)</t>
  </si>
  <si>
    <t>KYC Weakness (20%)</t>
  </si>
  <si>
    <t>IP Risk Score (15%)</t>
  </si>
  <si>
    <t>Device Risk (15%)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</si>
</sst>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0" formatCode="0.0"/>
    <numFmt numFmtId="172" formatCode="_ * #,##0_ ;_ * \-#,##0_ ;_ * &quot;-&quot;??_ ;_ @_ "/>
    <numFmt numFmtId="178" formatCode="_ * #,##0.000_ ;_ * \-#,##0.0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2" fontId="16" fillId="35" borderId="10" xfId="0" applyNumberFormat="1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72" fontId="0" fillId="0" borderId="10" xfId="1" applyNumberFormat="1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6" fillId="36" borderId="0" xfId="0" applyFont="1" applyFill="1" applyAlignment="1">
      <alignment horizontal="right"/>
    </xf>
    <xf numFmtId="170" fontId="0" fillId="0" borderId="0" xfId="0" applyNumberFormat="1" applyAlignment="1">
      <alignment horizontal="center"/>
    </xf>
    <xf numFmtId="170" fontId="16" fillId="0" borderId="0" xfId="0" applyNumberFormat="1" applyFont="1" applyAlignment="1">
      <alignment horizontal="center"/>
    </xf>
    <xf numFmtId="0" fontId="16" fillId="36" borderId="0" xfId="0" applyFont="1" applyFill="1"/>
    <xf numFmtId="170" fontId="16" fillId="36" borderId="0" xfId="0" applyNumberFormat="1" applyFont="1" applyFill="1" applyAlignment="1">
      <alignment horizontal="center"/>
    </xf>
    <xf numFmtId="0" fontId="16" fillId="36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78" fontId="0" fillId="0" borderId="10" xfId="1" applyNumberFormat="1" applyFon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16" fillId="0" borderId="10" xfId="0" applyNumberFormat="1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F694-ADE5-48A8-991E-F6E2921F4559}">
  <dimension ref="A1:GF27"/>
  <sheetViews>
    <sheetView showGridLines="0" zoomScale="90" zoomScaleNormal="90" workbookViewId="0">
      <selection activeCell="A2" sqref="A2:GF7"/>
    </sheetView>
  </sheetViews>
  <sheetFormatPr defaultRowHeight="14.4" x14ac:dyDescent="0.3"/>
  <cols>
    <col min="1" max="1" width="11.5546875" customWidth="1"/>
    <col min="2" max="2" width="11.109375" hidden="1" customWidth="1"/>
    <col min="3" max="3" width="16.5546875" hidden="1" customWidth="1"/>
    <col min="4" max="4" width="17.77734375" hidden="1" customWidth="1"/>
    <col min="5" max="5" width="12.44140625" hidden="1" customWidth="1"/>
    <col min="6" max="6" width="8.6640625" hidden="1" customWidth="1"/>
    <col min="7" max="7" width="15.44140625" hidden="1" customWidth="1"/>
    <col min="8" max="8" width="19" customWidth="1"/>
    <col min="9" max="9" width="7.33203125" hidden="1" customWidth="1"/>
    <col min="10" max="10" width="10.77734375" hidden="1" customWidth="1"/>
    <col min="11" max="11" width="14.88671875" hidden="1" customWidth="1"/>
    <col min="12" max="12" width="8.6640625" hidden="1" customWidth="1"/>
    <col min="13" max="13" width="15.5546875" hidden="1" customWidth="1"/>
    <col min="14" max="14" width="10.33203125" hidden="1" customWidth="1"/>
    <col min="15" max="15" width="11.33203125" hidden="1" customWidth="1"/>
    <col min="16" max="16" width="18" hidden="1" customWidth="1"/>
    <col min="17" max="17" width="9.88671875" hidden="1" customWidth="1"/>
    <col min="18" max="18" width="8.109375" style="1" bestFit="1" customWidth="1"/>
    <col min="19" max="19" width="11.109375" hidden="1" customWidth="1"/>
    <col min="20" max="20" width="17.5546875" hidden="1" customWidth="1"/>
    <col min="21" max="21" width="11.33203125" customWidth="1"/>
    <col min="22" max="22" width="11" hidden="1" customWidth="1"/>
    <col min="23" max="23" width="14.21875" hidden="1" customWidth="1"/>
    <col min="24" max="24" width="14.109375" customWidth="1"/>
    <col min="25" max="25" width="10.21875" customWidth="1"/>
    <col min="26" max="26" width="20" hidden="1" customWidth="1"/>
    <col min="27" max="27" width="11.21875" hidden="1" customWidth="1"/>
    <col min="28" max="28" width="12.109375" hidden="1" customWidth="1"/>
    <col min="29" max="29" width="8.77734375" hidden="1" customWidth="1"/>
    <col min="30" max="30" width="9.21875" hidden="1" customWidth="1"/>
    <col min="31" max="31" width="9.5546875" hidden="1" customWidth="1"/>
    <col min="32" max="32" width="12.5546875" hidden="1" customWidth="1"/>
    <col min="33" max="33" width="17.5546875" hidden="1" customWidth="1"/>
    <col min="34" max="34" width="16.77734375" hidden="1" customWidth="1"/>
    <col min="35" max="35" width="2" hidden="1" customWidth="1"/>
    <col min="36" max="36" width="12" customWidth="1"/>
    <col min="37" max="37" width="8.44140625" hidden="1" customWidth="1"/>
    <col min="38" max="38" width="9.33203125" customWidth="1"/>
    <col min="39" max="39" width="9.77734375" customWidth="1"/>
    <col min="40" max="40" width="14.6640625" hidden="1" customWidth="1"/>
    <col min="41" max="41" width="21.33203125" hidden="1" customWidth="1"/>
    <col min="42" max="42" width="13.77734375" hidden="1" customWidth="1"/>
    <col min="43" max="43" width="6.88671875" customWidth="1"/>
    <col min="44" max="44" width="10" hidden="1" customWidth="1"/>
    <col min="45" max="45" width="11" hidden="1" customWidth="1"/>
    <col min="46" max="46" width="13.21875" hidden="1" customWidth="1"/>
    <col min="47" max="47" width="8.33203125" hidden="1" customWidth="1"/>
    <col min="48" max="48" width="15.6640625" hidden="1" customWidth="1"/>
    <col min="49" max="49" width="16.6640625" hidden="1" customWidth="1"/>
    <col min="50" max="50" width="9.88671875" hidden="1" customWidth="1"/>
    <col min="51" max="51" width="8.109375" hidden="1" customWidth="1"/>
    <col min="52" max="53" width="10.5546875" hidden="1" customWidth="1"/>
    <col min="54" max="54" width="7.21875" hidden="1" customWidth="1"/>
    <col min="55" max="55" width="15.6640625" hidden="1" customWidth="1"/>
    <col min="56" max="56" width="15" hidden="1" customWidth="1"/>
    <col min="57" max="57" width="10.33203125" hidden="1" customWidth="1"/>
    <col min="58" max="58" width="16.44140625" customWidth="1"/>
    <col min="59" max="59" width="24.5546875" hidden="1" customWidth="1"/>
    <col min="60" max="60" width="26" hidden="1" customWidth="1"/>
    <col min="61" max="61" width="26.109375" hidden="1" customWidth="1"/>
    <col min="62" max="62" width="27.44140625" hidden="1" customWidth="1"/>
    <col min="63" max="63" width="24.44140625" hidden="1" customWidth="1"/>
    <col min="64" max="64" width="25.6640625" hidden="1" customWidth="1"/>
    <col min="65" max="65" width="27" hidden="1" customWidth="1"/>
    <col min="66" max="66" width="27.109375" hidden="1" customWidth="1"/>
    <col min="67" max="67" width="28.44140625" hidden="1" customWidth="1"/>
    <col min="68" max="68" width="23.44140625" hidden="1" customWidth="1"/>
    <col min="69" max="69" width="24.5546875" hidden="1" customWidth="1"/>
    <col min="70" max="70" width="26" hidden="1" customWidth="1"/>
    <col min="71" max="71" width="26.109375" hidden="1" customWidth="1"/>
    <col min="72" max="72" width="27.44140625" hidden="1" customWidth="1"/>
    <col min="73" max="73" width="16.77734375" customWidth="1"/>
    <col min="74" max="74" width="25.6640625" hidden="1" customWidth="1"/>
    <col min="75" max="75" width="19.33203125" customWidth="1"/>
    <col min="76" max="76" width="27.109375" hidden="1" customWidth="1"/>
    <col min="77" max="77" width="28.44140625" hidden="1" customWidth="1"/>
    <col min="78" max="78" width="22.6640625" hidden="1" customWidth="1"/>
    <col min="79" max="79" width="23.33203125" hidden="1" customWidth="1"/>
    <col min="80" max="80" width="24.33203125" hidden="1" customWidth="1"/>
    <col min="81" max="81" width="23.33203125" hidden="1" customWidth="1"/>
    <col min="82" max="82" width="24.33203125" hidden="1" customWidth="1"/>
    <col min="83" max="83" width="24.44140625" hidden="1" customWidth="1"/>
    <col min="84" max="84" width="25.5546875" hidden="1" customWidth="1"/>
    <col min="85" max="85" width="24.44140625" hidden="1" customWidth="1"/>
    <col min="86" max="86" width="25.5546875" hidden="1" customWidth="1"/>
    <col min="87" max="87" width="25.88671875" hidden="1" customWidth="1"/>
    <col min="88" max="88" width="26.88671875" hidden="1" customWidth="1"/>
    <col min="89" max="89" width="25.88671875" hidden="1" customWidth="1"/>
    <col min="90" max="90" width="26.88671875" hidden="1" customWidth="1"/>
    <col min="91" max="91" width="26" hidden="1" customWidth="1"/>
    <col min="92" max="92" width="27" hidden="1" customWidth="1"/>
    <col min="93" max="93" width="26" hidden="1" customWidth="1"/>
    <col min="94" max="94" width="27" hidden="1" customWidth="1"/>
    <col min="95" max="95" width="27.33203125" hidden="1" customWidth="1"/>
    <col min="96" max="96" width="28.33203125" hidden="1" customWidth="1"/>
    <col min="97" max="97" width="27.33203125" hidden="1" customWidth="1"/>
    <col min="98" max="98" width="28.33203125" hidden="1" customWidth="1"/>
    <col min="99" max="99" width="24.109375" hidden="1" customWidth="1"/>
    <col min="100" max="100" width="32.21875" hidden="1" customWidth="1"/>
    <col min="101" max="101" width="22.6640625" hidden="1" customWidth="1"/>
    <col min="102" max="102" width="35.88671875" hidden="1" customWidth="1"/>
    <col min="103" max="103" width="20.88671875" hidden="1" customWidth="1"/>
    <col min="104" max="104" width="30" hidden="1" customWidth="1"/>
    <col min="105" max="105" width="24.5546875" hidden="1" customWidth="1"/>
    <col min="106" max="106" width="25.77734375" hidden="1" customWidth="1"/>
    <col min="107" max="107" width="27.109375" hidden="1" customWidth="1"/>
    <col min="108" max="108" width="27.21875" hidden="1" customWidth="1"/>
    <col min="109" max="109" width="28.5546875" hidden="1" customWidth="1"/>
    <col min="110" max="110" width="25.6640625" hidden="1" customWidth="1"/>
    <col min="111" max="111" width="26.77734375" hidden="1" customWidth="1"/>
    <col min="112" max="112" width="28.109375" hidden="1" customWidth="1"/>
    <col min="113" max="113" width="28.21875" hidden="1" customWidth="1"/>
    <col min="114" max="114" width="29.6640625" hidden="1" customWidth="1"/>
    <col min="115" max="115" width="24.5546875" hidden="1" customWidth="1"/>
    <col min="116" max="116" width="25.77734375" hidden="1" customWidth="1"/>
    <col min="117" max="117" width="27.109375" hidden="1" customWidth="1"/>
    <col min="118" max="118" width="27.21875" hidden="1" customWidth="1"/>
    <col min="119" max="119" width="28.5546875" hidden="1" customWidth="1"/>
    <col min="120" max="120" width="25.6640625" hidden="1" customWidth="1"/>
    <col min="121" max="121" width="26.77734375" hidden="1" customWidth="1"/>
    <col min="122" max="122" width="28.109375" hidden="1" customWidth="1"/>
    <col min="123" max="123" width="28.21875" hidden="1" customWidth="1"/>
    <col min="124" max="124" width="29.6640625" hidden="1" customWidth="1"/>
    <col min="125" max="125" width="25.21875" hidden="1" customWidth="1"/>
    <col min="126" max="126" width="33.33203125" hidden="1" customWidth="1"/>
    <col min="127" max="127" width="23.77734375" hidden="1" customWidth="1"/>
    <col min="128" max="128" width="37" hidden="1" customWidth="1"/>
    <col min="129" max="129" width="22.109375" hidden="1" customWidth="1"/>
    <col min="130" max="130" width="31.109375" hidden="1" customWidth="1"/>
    <col min="131" max="131" width="21" hidden="1" customWidth="1"/>
    <col min="132" max="132" width="27.77734375" hidden="1" customWidth="1"/>
    <col min="133" max="133" width="21.5546875" hidden="1" customWidth="1"/>
    <col min="134" max="134" width="20.21875" hidden="1" customWidth="1"/>
    <col min="135" max="135" width="22.5546875" hidden="1" customWidth="1"/>
    <col min="136" max="136" width="19.5546875" hidden="1" customWidth="1"/>
    <col min="137" max="137" width="22.44140625" hidden="1" customWidth="1"/>
    <col min="138" max="138" width="29.21875" hidden="1" customWidth="1"/>
    <col min="139" max="139" width="24.21875" hidden="1" customWidth="1"/>
    <col min="140" max="140" width="25.21875" hidden="1" customWidth="1"/>
    <col min="141" max="141" width="23.5546875" hidden="1" customWidth="1"/>
    <col min="142" max="142" width="24.88671875" hidden="1" customWidth="1"/>
    <col min="143" max="143" width="23.21875" hidden="1" customWidth="1"/>
    <col min="144" max="144" width="20.77734375" hidden="1" customWidth="1"/>
    <col min="145" max="145" width="14.44140625" hidden="1" customWidth="1"/>
    <col min="146" max="146" width="24.109375" hidden="1" customWidth="1"/>
    <col min="147" max="147" width="25.109375" hidden="1" customWidth="1"/>
    <col min="148" max="148" width="24.77734375" hidden="1" customWidth="1"/>
    <col min="149" max="149" width="24.109375" hidden="1" customWidth="1"/>
    <col min="150" max="150" width="23.77734375" hidden="1" customWidth="1"/>
    <col min="151" max="151" width="25" hidden="1" customWidth="1"/>
    <col min="152" max="152" width="26.33203125" hidden="1" customWidth="1"/>
    <col min="153" max="153" width="25.77734375" hidden="1" customWidth="1"/>
    <col min="154" max="154" width="18" hidden="1" customWidth="1"/>
    <col min="155" max="155" width="26.33203125" hidden="1" customWidth="1"/>
    <col min="156" max="156" width="23.21875" hidden="1" customWidth="1"/>
    <col min="157" max="157" width="22.5546875" hidden="1" customWidth="1"/>
    <col min="158" max="158" width="18" hidden="1" customWidth="1"/>
    <col min="159" max="159" width="19.77734375" hidden="1" customWidth="1"/>
    <col min="160" max="160" width="24.77734375" hidden="1" customWidth="1"/>
    <col min="161" max="161" width="17" hidden="1" customWidth="1"/>
    <col min="162" max="162" width="22.109375" hidden="1" customWidth="1"/>
    <col min="163" max="163" width="21" hidden="1" customWidth="1"/>
    <col min="164" max="164" width="23.6640625" hidden="1" customWidth="1"/>
    <col min="165" max="165" width="23.109375" hidden="1" customWidth="1"/>
    <col min="166" max="166" width="19.44140625" hidden="1" customWidth="1"/>
    <col min="167" max="167" width="21" hidden="1" customWidth="1"/>
    <col min="168" max="168" width="21.88671875" hidden="1" customWidth="1"/>
    <col min="169" max="169" width="19.88671875" hidden="1" customWidth="1"/>
    <col min="170" max="170" width="21.109375" hidden="1" customWidth="1"/>
    <col min="171" max="171" width="28" hidden="1" customWidth="1"/>
    <col min="172" max="172" width="21.77734375" hidden="1" customWidth="1"/>
    <col min="173" max="173" width="22.109375" hidden="1" customWidth="1"/>
    <col min="174" max="174" width="25" hidden="1" customWidth="1"/>
    <col min="175" max="175" width="20" hidden="1" customWidth="1"/>
    <col min="176" max="176" width="24" hidden="1" customWidth="1"/>
    <col min="177" max="177" width="16.109375" hidden="1" customWidth="1"/>
    <col min="178" max="178" width="19" hidden="1" customWidth="1"/>
    <col min="179" max="179" width="24.44140625" hidden="1" customWidth="1"/>
    <col min="180" max="180" width="29.5546875" hidden="1" customWidth="1"/>
    <col min="181" max="181" width="16.109375" hidden="1" customWidth="1"/>
    <col min="182" max="182" width="16" hidden="1" customWidth="1"/>
    <col min="183" max="183" width="13.88671875" style="1" customWidth="1"/>
    <col min="184" max="184" width="23" hidden="1" customWidth="1"/>
    <col min="185" max="185" width="13.109375" hidden="1" customWidth="1"/>
    <col min="186" max="186" width="15.109375" customWidth="1"/>
    <col min="187" max="187" width="14.109375" customWidth="1"/>
    <col min="188" max="188" width="19.88671875" customWidth="1"/>
  </cols>
  <sheetData>
    <row r="1" spans="1:188" s="2" customFormat="1" ht="19.95" customHeight="1" x14ac:dyDescent="0.3">
      <c r="R1" s="25"/>
      <c r="BU1" s="15">
        <v>25</v>
      </c>
      <c r="GA1" s="13">
        <v>30</v>
      </c>
    </row>
    <row r="2" spans="1:188" s="11" customFormat="1" ht="32.4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4" t="s">
        <v>17</v>
      </c>
      <c r="S2" s="3" t="s">
        <v>18</v>
      </c>
      <c r="T2" s="3" t="s">
        <v>19</v>
      </c>
      <c r="U2" s="4" t="s">
        <v>20</v>
      </c>
      <c r="V2" s="3" t="s">
        <v>21</v>
      </c>
      <c r="W2" s="3" t="s">
        <v>22</v>
      </c>
      <c r="X2" s="4" t="s">
        <v>23</v>
      </c>
      <c r="Y2" s="4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4" t="s">
        <v>35</v>
      </c>
      <c r="AK2" s="3" t="s">
        <v>36</v>
      </c>
      <c r="AL2" s="4" t="s">
        <v>37</v>
      </c>
      <c r="AM2" s="4" t="s">
        <v>38</v>
      </c>
      <c r="AN2" s="3" t="s">
        <v>39</v>
      </c>
      <c r="AO2" s="3" t="s">
        <v>40</v>
      </c>
      <c r="AP2" s="3" t="s">
        <v>41</v>
      </c>
      <c r="AQ2" s="4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4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4" t="s">
        <v>72</v>
      </c>
      <c r="BV2" s="3" t="s">
        <v>73</v>
      </c>
      <c r="BW2" s="4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  <c r="EG2" s="3" t="s">
        <v>136</v>
      </c>
      <c r="EH2" s="3" t="s">
        <v>137</v>
      </c>
      <c r="EI2" s="3" t="s">
        <v>138</v>
      </c>
      <c r="EJ2" s="3" t="s">
        <v>139</v>
      </c>
      <c r="EK2" s="3" t="s">
        <v>140</v>
      </c>
      <c r="EL2" s="3" t="s">
        <v>141</v>
      </c>
      <c r="EM2" s="3" t="s">
        <v>142</v>
      </c>
      <c r="EN2" s="3" t="s">
        <v>143</v>
      </c>
      <c r="EO2" s="3" t="s">
        <v>144</v>
      </c>
      <c r="EP2" s="3" t="s">
        <v>145</v>
      </c>
      <c r="EQ2" s="3" t="s">
        <v>146</v>
      </c>
      <c r="ER2" s="3" t="s">
        <v>147</v>
      </c>
      <c r="ES2" s="3" t="s">
        <v>148</v>
      </c>
      <c r="ET2" s="3" t="s">
        <v>149</v>
      </c>
      <c r="EU2" s="3" t="s">
        <v>150</v>
      </c>
      <c r="EV2" s="3" t="s">
        <v>151</v>
      </c>
      <c r="EW2" s="3" t="s">
        <v>152</v>
      </c>
      <c r="EX2" s="3" t="s">
        <v>153</v>
      </c>
      <c r="EY2" s="3" t="s">
        <v>154</v>
      </c>
      <c r="EZ2" s="3" t="s">
        <v>155</v>
      </c>
      <c r="FA2" s="3" t="s">
        <v>156</v>
      </c>
      <c r="FB2" s="3" t="s">
        <v>157</v>
      </c>
      <c r="FC2" s="3" t="s">
        <v>158</v>
      </c>
      <c r="FD2" s="3" t="s">
        <v>159</v>
      </c>
      <c r="FE2" s="3" t="s">
        <v>160</v>
      </c>
      <c r="FF2" s="3" t="s">
        <v>161</v>
      </c>
      <c r="FG2" s="3" t="s">
        <v>162</v>
      </c>
      <c r="FH2" s="3" t="s">
        <v>163</v>
      </c>
      <c r="FI2" s="3" t="s">
        <v>164</v>
      </c>
      <c r="FJ2" s="3" t="s">
        <v>165</v>
      </c>
      <c r="FK2" s="3" t="s">
        <v>166</v>
      </c>
      <c r="FL2" s="3" t="s">
        <v>167</v>
      </c>
      <c r="FM2" s="3" t="s">
        <v>168</v>
      </c>
      <c r="FN2" s="3" t="s">
        <v>169</v>
      </c>
      <c r="FO2" s="3" t="s">
        <v>170</v>
      </c>
      <c r="FP2" s="3" t="s">
        <v>171</v>
      </c>
      <c r="FQ2" s="3" t="s">
        <v>172</v>
      </c>
      <c r="FR2" s="3" t="s">
        <v>173</v>
      </c>
      <c r="FS2" s="3" t="s">
        <v>174</v>
      </c>
      <c r="FT2" s="3" t="s">
        <v>175</v>
      </c>
      <c r="FU2" s="3" t="s">
        <v>176</v>
      </c>
      <c r="FV2" s="3" t="s">
        <v>177</v>
      </c>
      <c r="FW2" s="3" t="s">
        <v>178</v>
      </c>
      <c r="FX2" s="3" t="s">
        <v>179</v>
      </c>
      <c r="FY2" s="3" t="s">
        <v>180</v>
      </c>
      <c r="FZ2" s="3" t="s">
        <v>181</v>
      </c>
      <c r="GA2" s="4" t="s">
        <v>182</v>
      </c>
      <c r="GB2" s="3" t="s">
        <v>183</v>
      </c>
      <c r="GC2" s="3" t="s">
        <v>184</v>
      </c>
      <c r="GD2" s="4" t="s">
        <v>185</v>
      </c>
      <c r="GE2" s="4" t="s">
        <v>186</v>
      </c>
      <c r="GF2" s="4" t="s">
        <v>187</v>
      </c>
    </row>
    <row r="3" spans="1:188" ht="19.95" customHeight="1" x14ac:dyDescent="0.3">
      <c r="A3" s="5" t="s">
        <v>188</v>
      </c>
      <c r="B3" s="5" t="s">
        <v>189</v>
      </c>
      <c r="C3" s="5" t="s">
        <v>190</v>
      </c>
      <c r="D3" s="5"/>
      <c r="E3" s="5" t="s">
        <v>191</v>
      </c>
      <c r="F3" s="5" t="s">
        <v>192</v>
      </c>
      <c r="G3" s="6">
        <v>45901.003113425926</v>
      </c>
      <c r="H3" s="16">
        <v>14341.68</v>
      </c>
      <c r="I3" s="5" t="s">
        <v>193</v>
      </c>
      <c r="J3" s="5" t="s">
        <v>194</v>
      </c>
      <c r="K3" s="5" t="s">
        <v>195</v>
      </c>
      <c r="L3" s="5">
        <v>0</v>
      </c>
      <c r="M3" s="5"/>
      <c r="N3" s="5"/>
      <c r="O3" s="5"/>
      <c r="P3" s="5"/>
      <c r="Q3" s="5" t="s">
        <v>196</v>
      </c>
      <c r="R3" s="5">
        <v>0</v>
      </c>
      <c r="S3" s="5">
        <v>3380.46</v>
      </c>
      <c r="T3" s="5">
        <v>1123</v>
      </c>
      <c r="U3" s="5" t="s">
        <v>197</v>
      </c>
      <c r="V3" s="5" t="s">
        <v>198</v>
      </c>
      <c r="W3" s="5" t="s">
        <v>198</v>
      </c>
      <c r="X3" s="5" t="s">
        <v>199</v>
      </c>
      <c r="Y3" s="5">
        <v>0</v>
      </c>
      <c r="Z3" s="5" t="s">
        <v>200</v>
      </c>
      <c r="AA3" s="5" t="s">
        <v>201</v>
      </c>
      <c r="AB3" s="5" t="s">
        <v>202</v>
      </c>
      <c r="AC3" s="5">
        <v>28.613900000000001</v>
      </c>
      <c r="AD3" s="5">
        <v>77.209000000000003</v>
      </c>
      <c r="AE3" s="5" t="s">
        <v>203</v>
      </c>
      <c r="AF3" s="5"/>
      <c r="AG3" s="5"/>
      <c r="AH3" s="5"/>
      <c r="AI3" s="5">
        <v>682</v>
      </c>
      <c r="AJ3" s="5">
        <v>0</v>
      </c>
      <c r="AK3" s="5" t="s">
        <v>204</v>
      </c>
      <c r="AL3" s="5">
        <v>0</v>
      </c>
      <c r="AM3" s="5">
        <v>0</v>
      </c>
      <c r="AN3" s="5" t="s">
        <v>205</v>
      </c>
      <c r="AO3" s="5" t="s">
        <v>199</v>
      </c>
      <c r="AP3" s="5" t="s">
        <v>206</v>
      </c>
      <c r="AQ3" s="5">
        <v>0</v>
      </c>
      <c r="AR3" s="5">
        <v>28.624151999999999</v>
      </c>
      <c r="AS3" s="5">
        <v>77.294517999999997</v>
      </c>
      <c r="AT3" s="5">
        <v>0</v>
      </c>
      <c r="AU3" s="5">
        <v>0</v>
      </c>
      <c r="AV3" s="5">
        <v>0</v>
      </c>
      <c r="AW3" s="5">
        <v>1</v>
      </c>
      <c r="AX3" s="5">
        <v>9</v>
      </c>
      <c r="AY3" s="5">
        <v>2025</v>
      </c>
      <c r="AZ3" s="5">
        <v>3</v>
      </c>
      <c r="BA3" s="5">
        <v>0</v>
      </c>
      <c r="BB3" s="5">
        <v>1</v>
      </c>
      <c r="BC3" s="5">
        <v>0</v>
      </c>
      <c r="BD3" s="5">
        <v>1</v>
      </c>
      <c r="BE3" s="7">
        <v>45901</v>
      </c>
      <c r="BF3" s="8">
        <v>1</v>
      </c>
      <c r="BG3" s="5">
        <v>0</v>
      </c>
      <c r="BH3" s="5">
        <v>14341.68</v>
      </c>
      <c r="BI3" s="5">
        <v>0</v>
      </c>
      <c r="BJ3" s="5">
        <v>1</v>
      </c>
      <c r="BK3" s="5">
        <v>1</v>
      </c>
      <c r="BL3" s="5">
        <v>0</v>
      </c>
      <c r="BM3" s="5">
        <v>14341.68</v>
      </c>
      <c r="BN3" s="5">
        <v>0</v>
      </c>
      <c r="BO3" s="5">
        <v>1</v>
      </c>
      <c r="BP3" s="5">
        <v>1</v>
      </c>
      <c r="BQ3" s="5">
        <v>0</v>
      </c>
      <c r="BR3" s="5">
        <v>14341.68</v>
      </c>
      <c r="BS3" s="5">
        <v>0</v>
      </c>
      <c r="BT3" s="5">
        <v>1</v>
      </c>
      <c r="BU3" s="5">
        <v>1</v>
      </c>
      <c r="BV3" s="5">
        <v>0</v>
      </c>
      <c r="BW3" s="16">
        <v>14341.68</v>
      </c>
      <c r="BX3" s="5">
        <v>0</v>
      </c>
      <c r="BY3" s="5">
        <v>1</v>
      </c>
      <c r="BZ3" s="5" t="s">
        <v>189</v>
      </c>
      <c r="CA3" s="5">
        <v>2</v>
      </c>
      <c r="CB3" s="5">
        <v>2</v>
      </c>
      <c r="CC3" s="5">
        <v>2</v>
      </c>
      <c r="CD3" s="5">
        <v>2</v>
      </c>
      <c r="CE3" s="5">
        <v>14341.68</v>
      </c>
      <c r="CF3" s="5">
        <v>14341.68</v>
      </c>
      <c r="CG3" s="5">
        <v>14341.68</v>
      </c>
      <c r="CH3" s="5">
        <v>14341.68</v>
      </c>
      <c r="CI3" s="5">
        <v>14341.68</v>
      </c>
      <c r="CJ3" s="5">
        <v>14341.68</v>
      </c>
      <c r="CK3" s="5">
        <v>14341.68</v>
      </c>
      <c r="CL3" s="5">
        <v>14341.68</v>
      </c>
      <c r="CM3" s="5">
        <v>1</v>
      </c>
      <c r="CN3" s="5">
        <v>1</v>
      </c>
      <c r="CO3" s="5">
        <v>1</v>
      </c>
      <c r="CP3" s="5">
        <v>1</v>
      </c>
      <c r="CQ3" s="5">
        <v>1</v>
      </c>
      <c r="CR3" s="5">
        <v>1</v>
      </c>
      <c r="CS3" s="5">
        <v>1</v>
      </c>
      <c r="CT3" s="5">
        <v>1</v>
      </c>
      <c r="CU3" s="5">
        <v>2726560</v>
      </c>
      <c r="CV3" s="5">
        <v>-14341.68</v>
      </c>
      <c r="CW3" s="5">
        <v>2712218.32</v>
      </c>
      <c r="CX3" s="5">
        <v>-14341.6800000001</v>
      </c>
      <c r="CY3" s="5">
        <v>1198113.76</v>
      </c>
      <c r="CZ3" s="5">
        <v>2.2637402311446602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/>
      <c r="DZ3" s="5"/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1</v>
      </c>
      <c r="FZ3" s="5">
        <v>2</v>
      </c>
      <c r="GA3" s="8">
        <v>2</v>
      </c>
      <c r="GB3" s="5">
        <v>1</v>
      </c>
      <c r="GC3" s="5">
        <v>1</v>
      </c>
      <c r="GD3" s="9">
        <v>23.4722222222222</v>
      </c>
      <c r="GE3" s="10">
        <v>51.67</v>
      </c>
      <c r="GF3" s="10" t="s">
        <v>199</v>
      </c>
    </row>
    <row r="4" spans="1:188" ht="19.95" customHeight="1" x14ac:dyDescent="0.3">
      <c r="A4" s="5" t="s">
        <v>207</v>
      </c>
      <c r="B4" s="5" t="s">
        <v>208</v>
      </c>
      <c r="C4" s="5" t="s">
        <v>209</v>
      </c>
      <c r="D4" s="5"/>
      <c r="E4" s="5" t="s">
        <v>210</v>
      </c>
      <c r="F4" s="5" t="s">
        <v>211</v>
      </c>
      <c r="G4" s="6">
        <v>45901.003460648149</v>
      </c>
      <c r="H4" s="16">
        <v>1643.55</v>
      </c>
      <c r="I4" s="5" t="s">
        <v>212</v>
      </c>
      <c r="J4" s="5" t="s">
        <v>194</v>
      </c>
      <c r="K4" s="5" t="s">
        <v>213</v>
      </c>
      <c r="L4" s="5">
        <v>0</v>
      </c>
      <c r="M4" s="5"/>
      <c r="N4" s="5"/>
      <c r="O4" s="5"/>
      <c r="P4" s="5"/>
      <c r="Q4" s="5" t="s">
        <v>196</v>
      </c>
      <c r="R4" s="5">
        <v>0</v>
      </c>
      <c r="S4" s="5">
        <v>1824.84</v>
      </c>
      <c r="T4" s="5">
        <v>1138</v>
      </c>
      <c r="U4" s="5" t="s">
        <v>198</v>
      </c>
      <c r="V4" s="5" t="s">
        <v>199</v>
      </c>
      <c r="W4" s="5" t="s">
        <v>199</v>
      </c>
      <c r="X4" s="5" t="s">
        <v>199</v>
      </c>
      <c r="Y4" s="5">
        <v>0</v>
      </c>
      <c r="Z4" s="5" t="s">
        <v>200</v>
      </c>
      <c r="AA4" s="5" t="s">
        <v>214</v>
      </c>
      <c r="AB4" s="5" t="s">
        <v>215</v>
      </c>
      <c r="AC4" s="5">
        <v>12.9716</v>
      </c>
      <c r="AD4" s="5">
        <v>77.5946</v>
      </c>
      <c r="AE4" s="5" t="s">
        <v>216</v>
      </c>
      <c r="AF4" s="5" t="s">
        <v>217</v>
      </c>
      <c r="AG4" s="5"/>
      <c r="AH4" s="5"/>
      <c r="AI4" s="5">
        <v>453</v>
      </c>
      <c r="AJ4" s="5">
        <v>0</v>
      </c>
      <c r="AK4" s="5" t="s">
        <v>218</v>
      </c>
      <c r="AL4" s="5">
        <v>0</v>
      </c>
      <c r="AM4" s="5">
        <v>0</v>
      </c>
      <c r="AN4" s="5" t="s">
        <v>205</v>
      </c>
      <c r="AO4" s="5" t="s">
        <v>198</v>
      </c>
      <c r="AP4" s="5" t="s">
        <v>219</v>
      </c>
      <c r="AQ4" s="5">
        <v>0.05</v>
      </c>
      <c r="AR4" s="5">
        <v>13.045292</v>
      </c>
      <c r="AS4" s="5">
        <v>77.596459999999993</v>
      </c>
      <c r="AT4" s="5">
        <v>0</v>
      </c>
      <c r="AU4" s="5">
        <v>0</v>
      </c>
      <c r="AV4" s="5">
        <v>0</v>
      </c>
      <c r="AW4" s="5">
        <v>1</v>
      </c>
      <c r="AX4" s="5">
        <v>9</v>
      </c>
      <c r="AY4" s="5">
        <v>2025</v>
      </c>
      <c r="AZ4" s="5">
        <v>3</v>
      </c>
      <c r="BA4" s="5">
        <v>0</v>
      </c>
      <c r="BB4" s="5">
        <v>1</v>
      </c>
      <c r="BC4" s="5">
        <v>0</v>
      </c>
      <c r="BD4" s="5">
        <v>1</v>
      </c>
      <c r="BE4" s="7">
        <v>45901</v>
      </c>
      <c r="BF4" s="8">
        <v>1</v>
      </c>
      <c r="BG4" s="5">
        <v>0</v>
      </c>
      <c r="BH4" s="5">
        <v>1643.55</v>
      </c>
      <c r="BI4" s="5">
        <v>0</v>
      </c>
      <c r="BJ4" s="5">
        <v>1</v>
      </c>
      <c r="BK4" s="5">
        <v>1</v>
      </c>
      <c r="BL4" s="5">
        <v>0</v>
      </c>
      <c r="BM4" s="5">
        <v>1643.55</v>
      </c>
      <c r="BN4" s="5">
        <v>0</v>
      </c>
      <c r="BO4" s="5">
        <v>1</v>
      </c>
      <c r="BP4" s="5">
        <v>1</v>
      </c>
      <c r="BQ4" s="5">
        <v>0</v>
      </c>
      <c r="BR4" s="5">
        <v>1643.55</v>
      </c>
      <c r="BS4" s="5">
        <v>0</v>
      </c>
      <c r="BT4" s="5">
        <v>1</v>
      </c>
      <c r="BU4" s="5">
        <v>1</v>
      </c>
      <c r="BV4" s="5">
        <v>0</v>
      </c>
      <c r="BW4" s="16">
        <v>1643.55</v>
      </c>
      <c r="BX4" s="5">
        <v>0</v>
      </c>
      <c r="BY4" s="5">
        <v>1</v>
      </c>
      <c r="BZ4" s="5" t="s">
        <v>208</v>
      </c>
      <c r="CA4" s="5">
        <v>2</v>
      </c>
      <c r="CB4" s="5">
        <v>2</v>
      </c>
      <c r="CC4" s="5">
        <v>2</v>
      </c>
      <c r="CD4" s="5">
        <v>2</v>
      </c>
      <c r="CE4" s="5">
        <v>1643.55</v>
      </c>
      <c r="CF4" s="5">
        <v>1643.55</v>
      </c>
      <c r="CG4" s="5">
        <v>1643.55</v>
      </c>
      <c r="CH4" s="5">
        <v>1643.55</v>
      </c>
      <c r="CI4" s="5">
        <v>1643.55</v>
      </c>
      <c r="CJ4" s="5">
        <v>1643.55</v>
      </c>
      <c r="CK4" s="5">
        <v>1643.55</v>
      </c>
      <c r="CL4" s="5">
        <v>1643.55</v>
      </c>
      <c r="CM4" s="5">
        <v>1</v>
      </c>
      <c r="CN4" s="5">
        <v>1</v>
      </c>
      <c r="CO4" s="5">
        <v>1</v>
      </c>
      <c r="CP4" s="5">
        <v>1</v>
      </c>
      <c r="CQ4" s="5">
        <v>1</v>
      </c>
      <c r="CR4" s="5">
        <v>1</v>
      </c>
      <c r="CS4" s="5">
        <v>1</v>
      </c>
      <c r="CT4" s="5">
        <v>1</v>
      </c>
      <c r="CU4" s="5">
        <v>404068.07</v>
      </c>
      <c r="CV4" s="5">
        <v>-1643.55</v>
      </c>
      <c r="CW4" s="5">
        <v>402424.52</v>
      </c>
      <c r="CX4" s="5">
        <v>-1643.5499999999799</v>
      </c>
      <c r="CY4" s="5">
        <v>585838.429999999</v>
      </c>
      <c r="CZ4" s="5">
        <v>0.68692065831188298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/>
      <c r="DZ4" s="5"/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1</v>
      </c>
      <c r="FZ4" s="5">
        <v>2</v>
      </c>
      <c r="GA4" s="8">
        <v>2</v>
      </c>
      <c r="GB4" s="5">
        <v>1</v>
      </c>
      <c r="GC4" s="5">
        <v>1</v>
      </c>
      <c r="GD4" s="9">
        <v>24.2222222222222</v>
      </c>
      <c r="GE4" s="10">
        <v>53.32</v>
      </c>
      <c r="GF4" s="10" t="s">
        <v>199</v>
      </c>
    </row>
    <row r="5" spans="1:188" ht="19.95" customHeight="1" x14ac:dyDescent="0.3">
      <c r="A5" s="5" t="s">
        <v>220</v>
      </c>
      <c r="B5" s="5" t="s">
        <v>221</v>
      </c>
      <c r="C5" s="5" t="s">
        <v>222</v>
      </c>
      <c r="D5" s="5"/>
      <c r="E5" s="5" t="s">
        <v>223</v>
      </c>
      <c r="F5" s="5" t="s">
        <v>224</v>
      </c>
      <c r="G5" s="6">
        <v>45901.004386574074</v>
      </c>
      <c r="H5" s="16">
        <v>19979.29</v>
      </c>
      <c r="I5" s="5" t="s">
        <v>225</v>
      </c>
      <c r="J5" s="5" t="s">
        <v>194</v>
      </c>
      <c r="K5" s="5" t="s">
        <v>226</v>
      </c>
      <c r="L5" s="5">
        <v>1</v>
      </c>
      <c r="M5" s="5"/>
      <c r="N5" s="5"/>
      <c r="O5" s="5"/>
      <c r="P5" s="5"/>
      <c r="Q5" s="5" t="s">
        <v>196</v>
      </c>
      <c r="R5" s="5">
        <v>0</v>
      </c>
      <c r="S5" s="5">
        <v>8619.94</v>
      </c>
      <c r="T5" s="5">
        <v>1673</v>
      </c>
      <c r="U5" s="5" t="s">
        <v>197</v>
      </c>
      <c r="V5" s="5" t="s">
        <v>198</v>
      </c>
      <c r="W5" s="5" t="s">
        <v>199</v>
      </c>
      <c r="X5" s="5" t="s">
        <v>199</v>
      </c>
      <c r="Y5" s="5">
        <v>0</v>
      </c>
      <c r="Z5" s="5" t="s">
        <v>227</v>
      </c>
      <c r="AA5" s="5" t="s">
        <v>228</v>
      </c>
      <c r="AB5" s="5" t="s">
        <v>202</v>
      </c>
      <c r="AC5" s="5">
        <v>15.8497</v>
      </c>
      <c r="AD5" s="5">
        <v>74.497699999999995</v>
      </c>
      <c r="AE5" s="5" t="s">
        <v>229</v>
      </c>
      <c r="AF5" s="5"/>
      <c r="AG5" s="5"/>
      <c r="AH5" s="5"/>
      <c r="AI5" s="5">
        <v>268</v>
      </c>
      <c r="AJ5" s="5">
        <v>0</v>
      </c>
      <c r="AK5" s="5" t="s">
        <v>218</v>
      </c>
      <c r="AL5" s="5">
        <v>0</v>
      </c>
      <c r="AM5" s="5">
        <v>0</v>
      </c>
      <c r="AN5" s="5" t="s">
        <v>230</v>
      </c>
      <c r="AO5" s="5" t="s">
        <v>199</v>
      </c>
      <c r="AP5" s="5" t="s">
        <v>231</v>
      </c>
      <c r="AQ5" s="5">
        <v>0.75</v>
      </c>
      <c r="AR5" s="5">
        <v>38.092010999999999</v>
      </c>
      <c r="AS5" s="5">
        <v>103.495923</v>
      </c>
      <c r="AT5" s="5">
        <v>0</v>
      </c>
      <c r="AU5" s="5">
        <v>0</v>
      </c>
      <c r="AV5" s="5">
        <v>0</v>
      </c>
      <c r="AW5" s="5">
        <v>1</v>
      </c>
      <c r="AX5" s="5">
        <v>9</v>
      </c>
      <c r="AY5" s="5">
        <v>2025</v>
      </c>
      <c r="AZ5" s="5">
        <v>3</v>
      </c>
      <c r="BA5" s="5">
        <v>0</v>
      </c>
      <c r="BB5" s="5">
        <v>1</v>
      </c>
      <c r="BC5" s="5">
        <v>0</v>
      </c>
      <c r="BD5" s="5">
        <v>1</v>
      </c>
      <c r="BE5" s="7">
        <v>45901</v>
      </c>
      <c r="BF5" s="8">
        <v>1</v>
      </c>
      <c r="BG5" s="5">
        <v>0</v>
      </c>
      <c r="BH5" s="5">
        <v>19979.29</v>
      </c>
      <c r="BI5" s="5">
        <v>0</v>
      </c>
      <c r="BJ5" s="5">
        <v>1</v>
      </c>
      <c r="BK5" s="5">
        <v>1</v>
      </c>
      <c r="BL5" s="5">
        <v>0</v>
      </c>
      <c r="BM5" s="5">
        <v>19979.29</v>
      </c>
      <c r="BN5" s="5">
        <v>0</v>
      </c>
      <c r="BO5" s="5">
        <v>1</v>
      </c>
      <c r="BP5" s="5">
        <v>1</v>
      </c>
      <c r="BQ5" s="5">
        <v>0</v>
      </c>
      <c r="BR5" s="5">
        <v>19979.29</v>
      </c>
      <c r="BS5" s="5">
        <v>0</v>
      </c>
      <c r="BT5" s="5">
        <v>1</v>
      </c>
      <c r="BU5" s="5">
        <v>1</v>
      </c>
      <c r="BV5" s="5">
        <v>0</v>
      </c>
      <c r="BW5" s="16">
        <v>19979.29</v>
      </c>
      <c r="BX5" s="5">
        <v>0</v>
      </c>
      <c r="BY5" s="5">
        <v>1</v>
      </c>
      <c r="BZ5" s="5" t="s">
        <v>221</v>
      </c>
      <c r="CA5" s="5">
        <v>2</v>
      </c>
      <c r="CB5" s="5">
        <v>2</v>
      </c>
      <c r="CC5" s="5">
        <v>2</v>
      </c>
      <c r="CD5" s="5">
        <v>2</v>
      </c>
      <c r="CE5" s="5">
        <v>19979.29</v>
      </c>
      <c r="CF5" s="5">
        <v>19979.29</v>
      </c>
      <c r="CG5" s="5">
        <v>19979.29</v>
      </c>
      <c r="CH5" s="5">
        <v>19979.29</v>
      </c>
      <c r="CI5" s="5">
        <v>19979.29</v>
      </c>
      <c r="CJ5" s="5">
        <v>19979.29</v>
      </c>
      <c r="CK5" s="5">
        <v>19979.29</v>
      </c>
      <c r="CL5" s="5">
        <v>19979.29</v>
      </c>
      <c r="CM5" s="5">
        <v>1</v>
      </c>
      <c r="CN5" s="5">
        <v>1</v>
      </c>
      <c r="CO5" s="5">
        <v>1</v>
      </c>
      <c r="CP5" s="5">
        <v>1</v>
      </c>
      <c r="CQ5" s="5">
        <v>1</v>
      </c>
      <c r="CR5" s="5">
        <v>1</v>
      </c>
      <c r="CS5" s="5">
        <v>1</v>
      </c>
      <c r="CT5" s="5">
        <v>1</v>
      </c>
      <c r="CU5" s="5">
        <v>877024.4</v>
      </c>
      <c r="CV5" s="5">
        <v>-19979.29</v>
      </c>
      <c r="CW5" s="5">
        <v>857045.11</v>
      </c>
      <c r="CX5" s="5">
        <v>-19979.29</v>
      </c>
      <c r="CY5" s="5">
        <v>-317477.429999999</v>
      </c>
      <c r="CZ5" s="5">
        <v>-2.6995465787914399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/>
      <c r="DZ5" s="5"/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1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1</v>
      </c>
      <c r="FK5" s="5">
        <v>0</v>
      </c>
      <c r="FL5" s="5">
        <v>0</v>
      </c>
      <c r="FM5" s="5">
        <v>1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4</v>
      </c>
      <c r="FZ5" s="5">
        <v>2</v>
      </c>
      <c r="GA5" s="8">
        <v>7</v>
      </c>
      <c r="GB5" s="5">
        <v>1</v>
      </c>
      <c r="GC5" s="5">
        <v>1</v>
      </c>
      <c r="GD5" s="9">
        <v>40.2777777777777</v>
      </c>
      <c r="GE5" s="10">
        <v>88.66</v>
      </c>
      <c r="GF5" s="10" t="s">
        <v>232</v>
      </c>
    </row>
    <row r="6" spans="1:188" ht="19.95" customHeight="1" x14ac:dyDescent="0.3">
      <c r="A6" s="5" t="s">
        <v>233</v>
      </c>
      <c r="B6" s="5" t="s">
        <v>234</v>
      </c>
      <c r="C6" s="5" t="s">
        <v>235</v>
      </c>
      <c r="D6" s="5" t="s">
        <v>236</v>
      </c>
      <c r="E6" s="5"/>
      <c r="F6" s="5" t="s">
        <v>237</v>
      </c>
      <c r="G6" s="6">
        <v>45901.005023148151</v>
      </c>
      <c r="H6" s="16">
        <v>18665.45</v>
      </c>
      <c r="I6" s="5" t="s">
        <v>193</v>
      </c>
      <c r="J6" s="5" t="s">
        <v>194</v>
      </c>
      <c r="K6" s="5" t="s">
        <v>238</v>
      </c>
      <c r="L6" s="5">
        <v>0</v>
      </c>
      <c r="M6" s="5"/>
      <c r="N6" s="5"/>
      <c r="O6" s="5"/>
      <c r="P6" s="5"/>
      <c r="Q6" s="5" t="s">
        <v>196</v>
      </c>
      <c r="R6" s="5">
        <v>0</v>
      </c>
      <c r="S6" s="5">
        <v>57003.1</v>
      </c>
      <c r="T6" s="5">
        <v>604</v>
      </c>
      <c r="U6" s="5" t="s">
        <v>197</v>
      </c>
      <c r="V6" s="5" t="s">
        <v>197</v>
      </c>
      <c r="W6" s="5" t="s">
        <v>198</v>
      </c>
      <c r="X6" s="5" t="s">
        <v>198</v>
      </c>
      <c r="Y6" s="5">
        <v>0</v>
      </c>
      <c r="Z6" s="5" t="s">
        <v>239</v>
      </c>
      <c r="AA6" s="5" t="s">
        <v>240</v>
      </c>
      <c r="AB6" s="5" t="s">
        <v>202</v>
      </c>
      <c r="AC6" s="5">
        <v>19.076000000000001</v>
      </c>
      <c r="AD6" s="5">
        <v>72.877700000000004</v>
      </c>
      <c r="AE6" s="5" t="s">
        <v>241</v>
      </c>
      <c r="AF6" s="5"/>
      <c r="AG6" s="5"/>
      <c r="AH6" s="5"/>
      <c r="AI6" s="5">
        <v>1254</v>
      </c>
      <c r="AJ6" s="5">
        <v>0</v>
      </c>
      <c r="AK6" s="5" t="s">
        <v>242</v>
      </c>
      <c r="AL6" s="5">
        <v>0</v>
      </c>
      <c r="AM6" s="5">
        <v>0</v>
      </c>
      <c r="AN6" s="5"/>
      <c r="AO6" s="5"/>
      <c r="AP6" s="5" t="s">
        <v>243</v>
      </c>
      <c r="AQ6" s="5">
        <v>0.05</v>
      </c>
      <c r="AR6" s="5">
        <v>19.129708000000001</v>
      </c>
      <c r="AS6" s="5">
        <v>72.907625999999993</v>
      </c>
      <c r="AT6" s="5">
        <v>0</v>
      </c>
      <c r="AU6" s="5">
        <v>0</v>
      </c>
      <c r="AV6" s="5">
        <v>0</v>
      </c>
      <c r="AW6" s="5">
        <v>1</v>
      </c>
      <c r="AX6" s="5">
        <v>9</v>
      </c>
      <c r="AY6" s="5">
        <v>2025</v>
      </c>
      <c r="AZ6" s="5">
        <v>3</v>
      </c>
      <c r="BA6" s="5">
        <v>0</v>
      </c>
      <c r="BB6" s="5">
        <v>1</v>
      </c>
      <c r="BC6" s="5">
        <v>0</v>
      </c>
      <c r="BD6" s="5">
        <v>1</v>
      </c>
      <c r="BE6" s="7">
        <v>45901</v>
      </c>
      <c r="BF6" s="8">
        <v>1</v>
      </c>
      <c r="BG6" s="5">
        <v>0</v>
      </c>
      <c r="BH6" s="5">
        <v>18665.45</v>
      </c>
      <c r="BI6" s="5">
        <v>0</v>
      </c>
      <c r="BJ6" s="5">
        <v>1</v>
      </c>
      <c r="BK6" s="5">
        <v>1</v>
      </c>
      <c r="BL6" s="5">
        <v>0</v>
      </c>
      <c r="BM6" s="5">
        <v>18665.45</v>
      </c>
      <c r="BN6" s="5">
        <v>0</v>
      </c>
      <c r="BO6" s="5">
        <v>1</v>
      </c>
      <c r="BP6" s="5">
        <v>1</v>
      </c>
      <c r="BQ6" s="5">
        <v>0</v>
      </c>
      <c r="BR6" s="5">
        <v>18665.45</v>
      </c>
      <c r="BS6" s="5">
        <v>0</v>
      </c>
      <c r="BT6" s="5">
        <v>1</v>
      </c>
      <c r="BU6" s="5">
        <v>1</v>
      </c>
      <c r="BV6" s="5">
        <v>0</v>
      </c>
      <c r="BW6" s="16">
        <v>18665.45</v>
      </c>
      <c r="BX6" s="5">
        <v>0</v>
      </c>
      <c r="BY6" s="5">
        <v>1</v>
      </c>
      <c r="BZ6" s="5" t="s">
        <v>234</v>
      </c>
      <c r="CA6" s="5">
        <v>1</v>
      </c>
      <c r="CB6" s="5">
        <v>1</v>
      </c>
      <c r="CC6" s="5">
        <v>1</v>
      </c>
      <c r="CD6" s="5">
        <v>1</v>
      </c>
      <c r="CE6" s="5">
        <v>0</v>
      </c>
      <c r="CF6" s="5">
        <v>0</v>
      </c>
      <c r="CG6" s="5">
        <v>0</v>
      </c>
      <c r="CH6" s="5">
        <v>0</v>
      </c>
      <c r="CI6" s="5">
        <v>18665.45</v>
      </c>
      <c r="CJ6" s="5">
        <v>18665.45</v>
      </c>
      <c r="CK6" s="5">
        <v>18665.45</v>
      </c>
      <c r="CL6" s="5">
        <v>18665.45</v>
      </c>
      <c r="CM6" s="5">
        <v>0</v>
      </c>
      <c r="CN6" s="5">
        <v>0</v>
      </c>
      <c r="CO6" s="5">
        <v>0</v>
      </c>
      <c r="CP6" s="5">
        <v>0</v>
      </c>
      <c r="CQ6" s="5">
        <v>1</v>
      </c>
      <c r="CR6" s="5">
        <v>1</v>
      </c>
      <c r="CS6" s="5">
        <v>1</v>
      </c>
      <c r="CT6" s="5">
        <v>1</v>
      </c>
      <c r="CU6" s="5">
        <v>2373066.0999999898</v>
      </c>
      <c r="CV6" s="5">
        <v>-18665.45</v>
      </c>
      <c r="CW6" s="5">
        <v>2354400.6499999901</v>
      </c>
      <c r="CX6" s="5">
        <v>-18665.450000000099</v>
      </c>
      <c r="CY6" s="5">
        <v>1298262.6099999901</v>
      </c>
      <c r="CZ6" s="5">
        <v>1.81350108357507</v>
      </c>
      <c r="DA6" s="5">
        <v>1</v>
      </c>
      <c r="DB6" s="5">
        <v>18665.45</v>
      </c>
      <c r="DC6" s="5">
        <v>0</v>
      </c>
      <c r="DD6" s="5">
        <v>1</v>
      </c>
      <c r="DE6" s="5">
        <v>0</v>
      </c>
      <c r="DF6" s="5">
        <v>1</v>
      </c>
      <c r="DG6" s="5">
        <v>18665.45</v>
      </c>
      <c r="DH6" s="5">
        <v>0</v>
      </c>
      <c r="DI6" s="5">
        <v>1</v>
      </c>
      <c r="DJ6" s="5">
        <v>0</v>
      </c>
      <c r="DK6" s="5">
        <v>1</v>
      </c>
      <c r="DL6" s="5">
        <v>18665.45</v>
      </c>
      <c r="DM6" s="5">
        <v>0</v>
      </c>
      <c r="DN6" s="5">
        <v>1</v>
      </c>
      <c r="DO6" s="5">
        <v>0</v>
      </c>
      <c r="DP6" s="5">
        <v>1</v>
      </c>
      <c r="DQ6" s="5">
        <v>18665.45</v>
      </c>
      <c r="DR6" s="5">
        <v>0</v>
      </c>
      <c r="DS6" s="5">
        <v>1</v>
      </c>
      <c r="DT6" s="5">
        <v>0</v>
      </c>
      <c r="DU6" s="5">
        <v>404068.07</v>
      </c>
      <c r="DV6" s="5">
        <v>18665.45</v>
      </c>
      <c r="DW6" s="5">
        <v>422733.52</v>
      </c>
      <c r="DX6" s="5">
        <v>18665.45</v>
      </c>
      <c r="DY6" s="5">
        <v>207167.75</v>
      </c>
      <c r="DZ6" s="5">
        <v>2.04053729405276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1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1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3</v>
      </c>
      <c r="FZ6" s="5">
        <v>2</v>
      </c>
      <c r="GA6" s="8">
        <v>5</v>
      </c>
      <c r="GB6" s="5">
        <v>1</v>
      </c>
      <c r="GC6" s="5">
        <v>1</v>
      </c>
      <c r="GD6" s="9">
        <v>27.5555555555555</v>
      </c>
      <c r="GE6" s="10">
        <v>60.66</v>
      </c>
      <c r="GF6" s="10" t="s">
        <v>197</v>
      </c>
    </row>
    <row r="7" spans="1:188" ht="19.95" customHeight="1" x14ac:dyDescent="0.3">
      <c r="A7" s="5" t="s">
        <v>244</v>
      </c>
      <c r="B7" s="5" t="s">
        <v>245</v>
      </c>
      <c r="C7" s="5" t="s">
        <v>246</v>
      </c>
      <c r="D7" s="5"/>
      <c r="E7" s="5" t="s">
        <v>247</v>
      </c>
      <c r="F7" s="5" t="s">
        <v>248</v>
      </c>
      <c r="G7" s="6">
        <v>45901.007696759261</v>
      </c>
      <c r="H7" s="16">
        <v>804.19</v>
      </c>
      <c r="I7" s="5" t="s">
        <v>212</v>
      </c>
      <c r="J7" s="5" t="s">
        <v>194</v>
      </c>
      <c r="K7" s="5" t="s">
        <v>213</v>
      </c>
      <c r="L7" s="5">
        <v>0</v>
      </c>
      <c r="M7" s="5"/>
      <c r="N7" s="5"/>
      <c r="O7" s="5"/>
      <c r="P7" s="5"/>
      <c r="Q7" s="5" t="s">
        <v>196</v>
      </c>
      <c r="R7" s="5">
        <v>0</v>
      </c>
      <c r="S7" s="5">
        <v>21373.98</v>
      </c>
      <c r="T7" s="5">
        <v>1056</v>
      </c>
      <c r="U7" s="5" t="s">
        <v>199</v>
      </c>
      <c r="V7" s="5" t="s">
        <v>198</v>
      </c>
      <c r="W7" s="5" t="s">
        <v>199</v>
      </c>
      <c r="X7" s="5" t="s">
        <v>249</v>
      </c>
      <c r="Y7" s="5">
        <v>0</v>
      </c>
      <c r="Z7" s="5" t="s">
        <v>250</v>
      </c>
      <c r="AA7" s="5" t="s">
        <v>251</v>
      </c>
      <c r="AB7" s="5" t="s">
        <v>201</v>
      </c>
      <c r="AC7" s="5">
        <v>12.9716</v>
      </c>
      <c r="AD7" s="5">
        <v>77.5946</v>
      </c>
      <c r="AE7" s="5" t="s">
        <v>216</v>
      </c>
      <c r="AF7" s="5" t="s">
        <v>252</v>
      </c>
      <c r="AG7" s="5"/>
      <c r="AH7" s="5"/>
      <c r="AI7" s="5">
        <v>1049</v>
      </c>
      <c r="AJ7" s="5">
        <v>0</v>
      </c>
      <c r="AK7" s="5" t="s">
        <v>242</v>
      </c>
      <c r="AL7" s="5">
        <v>0</v>
      </c>
      <c r="AM7" s="5">
        <v>0</v>
      </c>
      <c r="AN7" s="5" t="s">
        <v>205</v>
      </c>
      <c r="AO7" s="5" t="s">
        <v>197</v>
      </c>
      <c r="AP7" s="5" t="s">
        <v>253</v>
      </c>
      <c r="AQ7" s="5">
        <v>0.05</v>
      </c>
      <c r="AR7" s="5">
        <v>12.946618000000001</v>
      </c>
      <c r="AS7" s="5">
        <v>77.628767999999994</v>
      </c>
      <c r="AT7" s="5">
        <v>0</v>
      </c>
      <c r="AU7" s="5">
        <v>0</v>
      </c>
      <c r="AV7" s="5">
        <v>0</v>
      </c>
      <c r="AW7" s="5">
        <v>1</v>
      </c>
      <c r="AX7" s="5">
        <v>9</v>
      </c>
      <c r="AY7" s="5">
        <v>2025</v>
      </c>
      <c r="AZ7" s="5">
        <v>3</v>
      </c>
      <c r="BA7" s="5">
        <v>0</v>
      </c>
      <c r="BB7" s="5">
        <v>1</v>
      </c>
      <c r="BC7" s="5">
        <v>0</v>
      </c>
      <c r="BD7" s="5">
        <v>1</v>
      </c>
      <c r="BE7" s="7">
        <v>45901</v>
      </c>
      <c r="BF7" s="8">
        <v>1</v>
      </c>
      <c r="BG7" s="5">
        <v>0</v>
      </c>
      <c r="BH7" s="5">
        <v>804.19</v>
      </c>
      <c r="BI7" s="5">
        <v>0</v>
      </c>
      <c r="BJ7" s="5">
        <v>1</v>
      </c>
      <c r="BK7" s="5">
        <v>1</v>
      </c>
      <c r="BL7" s="5">
        <v>0</v>
      </c>
      <c r="BM7" s="5">
        <v>804.19</v>
      </c>
      <c r="BN7" s="5">
        <v>0</v>
      </c>
      <c r="BO7" s="5">
        <v>1</v>
      </c>
      <c r="BP7" s="5">
        <v>1</v>
      </c>
      <c r="BQ7" s="5">
        <v>0</v>
      </c>
      <c r="BR7" s="5">
        <v>804.19</v>
      </c>
      <c r="BS7" s="5">
        <v>0</v>
      </c>
      <c r="BT7" s="5">
        <v>1</v>
      </c>
      <c r="BU7" s="5">
        <v>1</v>
      </c>
      <c r="BV7" s="5">
        <v>0</v>
      </c>
      <c r="BW7" s="16">
        <v>804.19</v>
      </c>
      <c r="BX7" s="5">
        <v>0</v>
      </c>
      <c r="BY7" s="5">
        <v>1</v>
      </c>
      <c r="BZ7" s="5" t="s">
        <v>245</v>
      </c>
      <c r="CA7" s="5">
        <v>2</v>
      </c>
      <c r="CB7" s="5">
        <v>2</v>
      </c>
      <c r="CC7" s="5">
        <v>2</v>
      </c>
      <c r="CD7" s="5">
        <v>2</v>
      </c>
      <c r="CE7" s="5">
        <v>804.19</v>
      </c>
      <c r="CF7" s="5">
        <v>804.19</v>
      </c>
      <c r="CG7" s="5">
        <v>804.19</v>
      </c>
      <c r="CH7" s="5">
        <v>804.19</v>
      </c>
      <c r="CI7" s="5">
        <v>804.19</v>
      </c>
      <c r="CJ7" s="5">
        <v>804.19</v>
      </c>
      <c r="CK7" s="5">
        <v>804.19</v>
      </c>
      <c r="CL7" s="5">
        <v>804.19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404068.07</v>
      </c>
      <c r="CV7" s="5">
        <v>-804.19</v>
      </c>
      <c r="CW7" s="5">
        <v>403263.88</v>
      </c>
      <c r="CX7" s="5">
        <v>-804.19000000000199</v>
      </c>
      <c r="CY7" s="5">
        <v>303234.33999999898</v>
      </c>
      <c r="CZ7" s="5">
        <v>1.3298753696563499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/>
      <c r="DZ7" s="5"/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1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1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3</v>
      </c>
      <c r="FZ7" s="5">
        <v>3</v>
      </c>
      <c r="GA7" s="8">
        <v>7</v>
      </c>
      <c r="GB7" s="5">
        <v>1</v>
      </c>
      <c r="GC7" s="5">
        <v>1</v>
      </c>
      <c r="GD7" s="9">
        <v>29.7777777777777</v>
      </c>
      <c r="GE7" s="10">
        <v>65.55</v>
      </c>
      <c r="GF7" s="10" t="s">
        <v>197</v>
      </c>
    </row>
    <row r="12" spans="1:188" x14ac:dyDescent="0.3">
      <c r="H12" s="12" t="s">
        <v>254</v>
      </c>
      <c r="R12" s="20">
        <v>27</v>
      </c>
      <c r="AM12" t="s">
        <v>262</v>
      </c>
    </row>
    <row r="13" spans="1:188" x14ac:dyDescent="0.3">
      <c r="H13" s="19" t="s">
        <v>256</v>
      </c>
      <c r="I13" s="22"/>
      <c r="J13" s="22"/>
      <c r="K13" s="22"/>
      <c r="L13" s="22"/>
      <c r="M13" s="22"/>
      <c r="N13" s="22"/>
      <c r="O13" s="22"/>
      <c r="P13" s="22"/>
      <c r="Q13" s="22"/>
      <c r="R13" s="23">
        <f>(GA3/R12)*GA1</f>
        <v>2.2222222222222223</v>
      </c>
      <c r="AM13" t="s">
        <v>263</v>
      </c>
    </row>
    <row r="14" spans="1:188" x14ac:dyDescent="0.3">
      <c r="H14" s="17"/>
      <c r="AM14" t="s">
        <v>264</v>
      </c>
    </row>
    <row r="15" spans="1:188" x14ac:dyDescent="0.3">
      <c r="H15" s="19" t="s">
        <v>257</v>
      </c>
      <c r="I15" s="22"/>
      <c r="J15" s="22"/>
      <c r="K15" s="22"/>
      <c r="L15" s="22"/>
      <c r="M15" s="22"/>
      <c r="N15" s="22"/>
      <c r="O15" s="22"/>
      <c r="P15" s="22"/>
      <c r="Q15" s="22"/>
      <c r="R15" s="23">
        <f>((R16+R17)/2)*BU1</f>
        <v>76.093442102802172</v>
      </c>
      <c r="AM15" t="s">
        <v>265</v>
      </c>
    </row>
    <row r="16" spans="1:188" x14ac:dyDescent="0.3">
      <c r="H16" s="17" t="s">
        <v>255</v>
      </c>
      <c r="R16" s="14">
        <f>(BF3/(BU3+1))/5</f>
        <v>0.1</v>
      </c>
    </row>
    <row r="17" spans="8:39" x14ac:dyDescent="0.3">
      <c r="H17" s="17" t="s">
        <v>258</v>
      </c>
      <c r="R17" s="21">
        <f>R19/5</f>
        <v>5.9874753682241746</v>
      </c>
      <c r="AM17" t="s">
        <v>266</v>
      </c>
    </row>
    <row r="18" spans="8:39" x14ac:dyDescent="0.3">
      <c r="H18" s="18" t="s">
        <v>259</v>
      </c>
      <c r="R18" s="20">
        <f>(BW3/30)+1</f>
        <v>479.05599999999998</v>
      </c>
      <c r="AM18" t="s">
        <v>267</v>
      </c>
    </row>
    <row r="19" spans="8:39" x14ac:dyDescent="0.3">
      <c r="H19" t="s">
        <v>260</v>
      </c>
      <c r="R19" s="20">
        <f>(H3/R18)</f>
        <v>29.937376841120873</v>
      </c>
      <c r="AM19" t="s">
        <v>268</v>
      </c>
    </row>
    <row r="20" spans="8:39" x14ac:dyDescent="0.3">
      <c r="R20" s="20"/>
      <c r="AM20" t="s">
        <v>269</v>
      </c>
    </row>
    <row r="21" spans="8:39" x14ac:dyDescent="0.3">
      <c r="H21" s="19" t="s">
        <v>261</v>
      </c>
      <c r="I21" s="19"/>
      <c r="J21" s="19"/>
      <c r="K21" s="19"/>
      <c r="L21" s="19"/>
      <c r="M21" s="19"/>
      <c r="N21" s="19"/>
      <c r="O21" s="19"/>
      <c r="P21" s="19"/>
      <c r="Q21" s="19"/>
      <c r="R21" s="24">
        <f>(R22+R23+R24)*15</f>
        <v>3.75</v>
      </c>
    </row>
    <row r="22" spans="8:39" x14ac:dyDescent="0.3">
      <c r="H22" s="12" t="s">
        <v>270</v>
      </c>
      <c r="R22" s="1">
        <f>(2/4)*0.5</f>
        <v>0.25</v>
      </c>
    </row>
    <row r="23" spans="8:39" x14ac:dyDescent="0.3">
      <c r="H23" s="12" t="s">
        <v>271</v>
      </c>
      <c r="R23" s="1">
        <f>0*0.3</f>
        <v>0</v>
      </c>
    </row>
    <row r="24" spans="8:39" x14ac:dyDescent="0.3">
      <c r="H24" s="12" t="s">
        <v>272</v>
      </c>
      <c r="R24" s="1">
        <f>((3-3)/3)*0.2</f>
        <v>0</v>
      </c>
    </row>
    <row r="26" spans="8:39" x14ac:dyDescent="0.3">
      <c r="H26" s="19" t="s">
        <v>273</v>
      </c>
      <c r="I26" s="19"/>
      <c r="J26" s="19"/>
      <c r="K26" s="19"/>
      <c r="L26" s="19"/>
      <c r="M26" s="19"/>
      <c r="N26" s="19"/>
      <c r="O26" s="19"/>
      <c r="P26" s="19"/>
      <c r="Q26" s="19"/>
      <c r="R26" s="24">
        <f>AQ3*15</f>
        <v>0</v>
      </c>
    </row>
    <row r="27" spans="8:39" x14ac:dyDescent="0.3">
      <c r="H27" s="19" t="s">
        <v>274</v>
      </c>
      <c r="I27" s="19"/>
      <c r="J27" s="19"/>
      <c r="K27" s="19"/>
      <c r="L27" s="19"/>
      <c r="M27" s="19"/>
      <c r="N27" s="19"/>
      <c r="O27" s="19"/>
      <c r="P27" s="19"/>
      <c r="Q27" s="19"/>
      <c r="R27" s="24">
        <f>((AJ3+AL3+AM3)/3)*15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C806-917F-4FCF-8C4A-AC411CBCBC30}">
  <dimension ref="A5:Q10"/>
  <sheetViews>
    <sheetView tabSelected="1" workbookViewId="0">
      <selection activeCell="B6" sqref="B6:N10"/>
    </sheetView>
  </sheetViews>
  <sheetFormatPr defaultRowHeight="14.4" x14ac:dyDescent="0.3"/>
  <cols>
    <col min="2" max="2" width="10.88671875" bestFit="1" customWidth="1"/>
    <col min="3" max="3" width="9.109375" bestFit="1" customWidth="1"/>
    <col min="6" max="12" width="9.109375" bestFit="1" customWidth="1"/>
    <col min="13" max="13" width="10.88671875" bestFit="1" customWidth="1"/>
    <col min="14" max="14" width="9.109375" bestFit="1" customWidth="1"/>
  </cols>
  <sheetData>
    <row r="5" spans="1:17" ht="57.6" x14ac:dyDescent="0.3">
      <c r="A5" s="3" t="s">
        <v>0</v>
      </c>
      <c r="B5" s="4" t="s">
        <v>7</v>
      </c>
      <c r="C5" s="4" t="s">
        <v>17</v>
      </c>
      <c r="D5" s="4" t="s">
        <v>20</v>
      </c>
      <c r="E5" s="4" t="s">
        <v>23</v>
      </c>
      <c r="F5" s="4" t="s">
        <v>24</v>
      </c>
      <c r="G5" s="4" t="s">
        <v>35</v>
      </c>
      <c r="H5" s="4" t="s">
        <v>37</v>
      </c>
      <c r="I5" s="4" t="s">
        <v>38</v>
      </c>
      <c r="J5" s="4" t="s">
        <v>42</v>
      </c>
      <c r="K5" s="4" t="s">
        <v>57</v>
      </c>
      <c r="L5" s="4" t="s">
        <v>72</v>
      </c>
      <c r="M5" s="4" t="s">
        <v>74</v>
      </c>
      <c r="N5" s="4" t="s">
        <v>182</v>
      </c>
      <c r="O5" s="4" t="s">
        <v>185</v>
      </c>
      <c r="P5" s="4" t="s">
        <v>186</v>
      </c>
      <c r="Q5" s="4" t="s">
        <v>187</v>
      </c>
    </row>
    <row r="6" spans="1:17" x14ac:dyDescent="0.3">
      <c r="A6" s="5" t="s">
        <v>188</v>
      </c>
      <c r="B6" s="26">
        <v>14341.68</v>
      </c>
      <c r="C6" s="27">
        <v>0</v>
      </c>
      <c r="D6" s="27" t="s">
        <v>197</v>
      </c>
      <c r="E6" s="27" t="s">
        <v>199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8">
        <v>1</v>
      </c>
      <c r="L6" s="27">
        <v>1</v>
      </c>
      <c r="M6" s="26">
        <v>14341.68</v>
      </c>
      <c r="N6" s="28">
        <v>2</v>
      </c>
      <c r="O6" s="9">
        <v>23.4722222222222</v>
      </c>
      <c r="P6" s="10">
        <v>51.67</v>
      </c>
      <c r="Q6" s="10" t="s">
        <v>199</v>
      </c>
    </row>
    <row r="7" spans="1:17" x14ac:dyDescent="0.3">
      <c r="A7" s="5" t="s">
        <v>207</v>
      </c>
      <c r="B7" s="26">
        <v>1643.55</v>
      </c>
      <c r="C7" s="27">
        <v>0</v>
      </c>
      <c r="D7" s="27" t="s">
        <v>198</v>
      </c>
      <c r="E7" s="27" t="s">
        <v>199</v>
      </c>
      <c r="F7" s="27">
        <v>0</v>
      </c>
      <c r="G7" s="27">
        <v>0</v>
      </c>
      <c r="H7" s="27">
        <v>0</v>
      </c>
      <c r="I7" s="27">
        <v>0</v>
      </c>
      <c r="J7" s="27">
        <v>0.05</v>
      </c>
      <c r="K7" s="28">
        <v>1</v>
      </c>
      <c r="L7" s="27">
        <v>1</v>
      </c>
      <c r="M7" s="26">
        <v>1643.55</v>
      </c>
      <c r="N7" s="28">
        <v>2</v>
      </c>
      <c r="O7" s="9">
        <v>24.2222222222222</v>
      </c>
      <c r="P7" s="10">
        <v>53.32</v>
      </c>
      <c r="Q7" s="10" t="s">
        <v>199</v>
      </c>
    </row>
    <row r="8" spans="1:17" x14ac:dyDescent="0.3">
      <c r="A8" s="5" t="s">
        <v>220</v>
      </c>
      <c r="B8" s="26">
        <v>19979.29</v>
      </c>
      <c r="C8" s="27">
        <v>0</v>
      </c>
      <c r="D8" s="27" t="s">
        <v>197</v>
      </c>
      <c r="E8" s="27" t="s">
        <v>199</v>
      </c>
      <c r="F8" s="27">
        <v>0</v>
      </c>
      <c r="G8" s="27">
        <v>0</v>
      </c>
      <c r="H8" s="27">
        <v>0</v>
      </c>
      <c r="I8" s="27">
        <v>0</v>
      </c>
      <c r="J8" s="27">
        <v>0.75</v>
      </c>
      <c r="K8" s="28">
        <v>1</v>
      </c>
      <c r="L8" s="27">
        <v>1</v>
      </c>
      <c r="M8" s="26">
        <v>19979.29</v>
      </c>
      <c r="N8" s="28">
        <v>7</v>
      </c>
      <c r="O8" s="9">
        <v>40.2777777777777</v>
      </c>
      <c r="P8" s="10">
        <v>88.66</v>
      </c>
      <c r="Q8" s="10" t="s">
        <v>232</v>
      </c>
    </row>
    <row r="9" spans="1:17" x14ac:dyDescent="0.3">
      <c r="A9" s="5" t="s">
        <v>233</v>
      </c>
      <c r="B9" s="26">
        <v>18665.45</v>
      </c>
      <c r="C9" s="27">
        <v>0</v>
      </c>
      <c r="D9" s="27" t="s">
        <v>197</v>
      </c>
      <c r="E9" s="27" t="s">
        <v>198</v>
      </c>
      <c r="F9" s="27">
        <v>0</v>
      </c>
      <c r="G9" s="27">
        <v>0</v>
      </c>
      <c r="H9" s="27">
        <v>0</v>
      </c>
      <c r="I9" s="27">
        <v>0</v>
      </c>
      <c r="J9" s="27">
        <v>0.05</v>
      </c>
      <c r="K9" s="28">
        <v>1</v>
      </c>
      <c r="L9" s="27">
        <v>1</v>
      </c>
      <c r="M9" s="26">
        <v>18665.45</v>
      </c>
      <c r="N9" s="28">
        <v>5</v>
      </c>
      <c r="O9" s="9">
        <v>27.5555555555555</v>
      </c>
      <c r="P9" s="10">
        <v>60.66</v>
      </c>
      <c r="Q9" s="10" t="s">
        <v>197</v>
      </c>
    </row>
    <row r="10" spans="1:17" x14ac:dyDescent="0.3">
      <c r="A10" s="5" t="s">
        <v>244</v>
      </c>
      <c r="B10" s="26">
        <v>804.19</v>
      </c>
      <c r="C10" s="27">
        <v>0</v>
      </c>
      <c r="D10" s="27" t="s">
        <v>199</v>
      </c>
      <c r="E10" s="27" t="s">
        <v>249</v>
      </c>
      <c r="F10" s="27">
        <v>0</v>
      </c>
      <c r="G10" s="27">
        <v>0</v>
      </c>
      <c r="H10" s="27">
        <v>0</v>
      </c>
      <c r="I10" s="27">
        <v>0</v>
      </c>
      <c r="J10" s="27">
        <v>0.05</v>
      </c>
      <c r="K10" s="28">
        <v>1</v>
      </c>
      <c r="L10" s="27">
        <v>1</v>
      </c>
      <c r="M10" s="26">
        <v>804.19</v>
      </c>
      <c r="N10" s="28">
        <v>7</v>
      </c>
      <c r="O10" s="9">
        <v>29.7777777777777</v>
      </c>
      <c r="P10" s="10">
        <v>65.55</v>
      </c>
      <c r="Q10" s="1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Check_FIS_IP_RISK_SCORE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</dc:creator>
  <cp:lastModifiedBy>917036180999</cp:lastModifiedBy>
  <dcterms:created xsi:type="dcterms:W3CDTF">2026-03-04T13:14:53Z</dcterms:created>
  <dcterms:modified xsi:type="dcterms:W3CDTF">2026-03-04T14:57:08Z</dcterms:modified>
</cp:coreProperties>
</file>