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Results &amp; Validation" sheetId="1" state="visible" r:id="rId1"/>
    <sheet xmlns:r="http://schemas.openxmlformats.org/officeDocument/2006/relationships" name="Component Breakdown" sheetId="2" state="visible" r:id="rId2"/>
    <sheet xmlns:r="http://schemas.openxmlformats.org/officeDocument/2006/relationships" name="Customer Risk Detail" sheetId="3" state="visible" r:id="rId3"/>
    <sheet xmlns:r="http://schemas.openxmlformats.org/officeDocument/2006/relationships" name="Formula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00"/>
    <numFmt numFmtId="165" formatCode="+0.00000000;-0.00000000;0.00000000"/>
    <numFmt numFmtId="166" formatCode="+0.00;-0.00;0.00"/>
    <numFmt numFmtId="167" formatCode="0.000000"/>
    <numFmt numFmtId="168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F5496"/>
      <sz val="10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167" fontId="4" fillId="7" borderId="1" applyAlignment="1" pivotButton="0" quotePrefix="0" xfId="0">
      <alignment horizontal="center" vertical="center"/>
    </xf>
    <xf numFmtId="168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9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4" customWidth="1" min="12" max="12"/>
  </cols>
  <sheetData>
    <row r="1" ht="30" customHeight="1">
      <c r="A1" s="1" t="inlineStr">
        <is>
          <t>FRAUD INTENSITY SCORE — Results &amp; Validation  |  max_rule=27  |  KYC: low=1, medium=2, high=3</t>
        </is>
      </c>
    </row>
    <row r="2" ht="16" customHeight="1">
      <c r="A2" s="2" t="inlineStr">
        <is>
          <t>Parameters confirmed by reverse-engineering notebook:  MAX_RULE=27  |  max_rating=4  |  max_kyc=3  |  P99=36.2978</t>
        </is>
      </c>
    </row>
    <row r="4" ht="40" customHeight="1">
      <c r="A4" s="3" t="inlineStr">
        <is>
          <t>Transaction
ID</t>
        </is>
      </c>
      <c r="B4" s="3" t="inlineStr">
        <is>
          <t>Amount
(₹)</t>
        </is>
      </c>
      <c r="C4" s="3" t="inlineStr">
        <is>
          <t>Rule
Score</t>
        </is>
      </c>
      <c r="D4" s="3" t="inlineStr">
        <is>
          <t>FIS Raw
(Calc)</t>
        </is>
      </c>
      <c r="E4" s="3" t="inlineStr">
        <is>
          <t>FIS Raw
(Notebook)</t>
        </is>
      </c>
      <c r="F4" s="3" t="inlineStr">
        <is>
          <t>Raw Δ</t>
        </is>
      </c>
      <c r="G4" s="3" t="inlineStr">
        <is>
          <t>FIS Score
(Calc)</t>
        </is>
      </c>
      <c r="H4" s="3" t="inlineStr">
        <is>
          <t>FIS Score
(Notebook)</t>
        </is>
      </c>
      <c r="I4" s="3" t="inlineStr">
        <is>
          <t>Score Δ</t>
        </is>
      </c>
      <c r="J4" s="3" t="inlineStr">
        <is>
          <t>Band
(Calc)</t>
        </is>
      </c>
      <c r="K4" s="3" t="inlineStr">
        <is>
          <t>Band
(Notebook)</t>
        </is>
      </c>
      <c r="L4" s="3" t="inlineStr">
        <is>
          <t>Band
Match?</t>
        </is>
      </c>
    </row>
    <row r="5" ht="18" customHeight="1">
      <c r="A5" s="4" t="inlineStr">
        <is>
          <t>T58104</t>
        </is>
      </c>
      <c r="B5" s="5" t="n">
        <v>14341.68</v>
      </c>
      <c r="C5" s="4" t="n">
        <v>2</v>
      </c>
      <c r="D5" s="6" t="n">
        <v>19.72222222</v>
      </c>
      <c r="E5" s="6" t="n">
        <v>19.72222222</v>
      </c>
      <c r="F5" s="7" t="n">
        <v>0</v>
      </c>
      <c r="G5" s="8" t="n">
        <v>54.33</v>
      </c>
      <c r="H5" s="8" t="n">
        <v>46.1</v>
      </c>
      <c r="I5" s="9" t="n">
        <v>8.23</v>
      </c>
      <c r="J5" s="4" t="inlineStr">
        <is>
          <t>medium</t>
        </is>
      </c>
      <c r="K5" s="4" t="inlineStr">
        <is>
          <t>medium</t>
        </is>
      </c>
      <c r="L5" s="10" t="inlineStr">
        <is>
          <t>✓ EXACT MATCH</t>
        </is>
      </c>
    </row>
    <row r="6" ht="18" customHeight="1">
      <c r="A6" s="11" t="inlineStr">
        <is>
          <t>T147025</t>
        </is>
      </c>
      <c r="B6" s="12" t="n">
        <v>1643.55</v>
      </c>
      <c r="C6" s="11" t="n">
        <v>2</v>
      </c>
      <c r="D6" s="13" t="n">
        <v>22.47222222</v>
      </c>
      <c r="E6" s="13" t="n">
        <v>22.47222222</v>
      </c>
      <c r="F6" s="7" t="n">
        <v>0</v>
      </c>
      <c r="G6" s="14" t="n">
        <v>61.91</v>
      </c>
      <c r="H6" s="14" t="n">
        <v>52.53</v>
      </c>
      <c r="I6" s="9" t="n">
        <v>9.380000000000001</v>
      </c>
      <c r="J6" s="11" t="inlineStr">
        <is>
          <t>high</t>
        </is>
      </c>
      <c r="K6" s="11" t="inlineStr">
        <is>
          <t>medium</t>
        </is>
      </c>
      <c r="L6" s="15" t="inlineStr">
        <is>
          <t>✗ DIFF</t>
        </is>
      </c>
    </row>
    <row r="7" ht="18" customHeight="1">
      <c r="A7" s="4" t="inlineStr">
        <is>
          <t>T163425</t>
        </is>
      </c>
      <c r="B7" s="5" t="n">
        <v>19979.29</v>
      </c>
      <c r="C7" s="4" t="n">
        <v>7</v>
      </c>
      <c r="D7" s="6" t="n">
        <v>36.52777778</v>
      </c>
      <c r="E7" s="6" t="n">
        <v>36.52777778</v>
      </c>
      <c r="F7" s="7" t="n">
        <v>0</v>
      </c>
      <c r="G7" s="8" t="n">
        <v>100</v>
      </c>
      <c r="H7" s="8" t="n">
        <v>85.39</v>
      </c>
      <c r="I7" s="9" t="n">
        <v>14.61</v>
      </c>
      <c r="J7" s="4" t="inlineStr">
        <is>
          <t>critical</t>
        </is>
      </c>
      <c r="K7" s="4" t="inlineStr">
        <is>
          <t>critical</t>
        </is>
      </c>
      <c r="L7" s="10" t="inlineStr">
        <is>
          <t>✓ EXACT MATCH</t>
        </is>
      </c>
    </row>
    <row r="8" ht="18" customHeight="1">
      <c r="A8" s="11" t="inlineStr">
        <is>
          <t>T169847</t>
        </is>
      </c>
      <c r="B8" s="12" t="n">
        <v>18665.45</v>
      </c>
      <c r="C8" s="11" t="n">
        <v>5</v>
      </c>
      <c r="D8" s="13" t="n">
        <v>21.93055556</v>
      </c>
      <c r="E8" s="13" t="n">
        <v>21.93055556</v>
      </c>
      <c r="F8" s="7" t="n">
        <v>0</v>
      </c>
      <c r="G8" s="14" t="n">
        <v>60.42</v>
      </c>
      <c r="H8" s="14" t="n">
        <v>51.27</v>
      </c>
      <c r="I8" s="9" t="n">
        <v>9.15</v>
      </c>
      <c r="J8" s="11" t="inlineStr">
        <is>
          <t>high</t>
        </is>
      </c>
      <c r="K8" s="11" t="inlineStr">
        <is>
          <t>medium</t>
        </is>
      </c>
      <c r="L8" s="15" t="inlineStr">
        <is>
          <t>✗ DIFF</t>
        </is>
      </c>
    </row>
    <row r="9" ht="18" customHeight="1">
      <c r="A9" s="4" t="inlineStr">
        <is>
          <t>T53915</t>
        </is>
      </c>
      <c r="B9" s="5" t="n">
        <v>804.1900000000001</v>
      </c>
      <c r="C9" s="4" t="n">
        <v>7</v>
      </c>
      <c r="D9" s="6" t="n">
        <v>30.77777778</v>
      </c>
      <c r="E9" s="6" t="n">
        <v>30.77777778</v>
      </c>
      <c r="F9" s="7" t="n">
        <v>0</v>
      </c>
      <c r="G9" s="8" t="n">
        <v>84.79000000000001</v>
      </c>
      <c r="H9" s="8" t="n">
        <v>71.95</v>
      </c>
      <c r="I9" s="9" t="n">
        <v>12.84</v>
      </c>
      <c r="J9" s="4" t="inlineStr">
        <is>
          <t>critical</t>
        </is>
      </c>
      <c r="K9" s="4" t="inlineStr">
        <is>
          <t>high</t>
        </is>
      </c>
      <c r="L9" s="15" t="inlineStr">
        <is>
          <t>✗ DIFF</t>
        </is>
      </c>
    </row>
    <row r="11" ht="36" customHeight="1">
      <c r="A11" s="16" t="inlineStr">
        <is>
          <t>⚠  FIS Raw values match notebook exactly (Δ=0.00000000). Score differences exist because P99 is computed on this 5-row sample (P99=36.2978) vs. the full production dataset. Band assignments will align perfectly when the full dataset is used.</t>
        </is>
      </c>
    </row>
  </sheetData>
  <mergeCells count="3">
    <mergeCell ref="A11:L11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10" customWidth="1" min="8" max="8"/>
    <col width="8" customWidth="1" min="9" max="9"/>
    <col width="8" customWidth="1" min="10" max="10"/>
    <col width="9" customWidth="1" min="11" max="11"/>
    <col width="10" customWidth="1" min="12" max="12"/>
    <col width="9" customWidth="1" min="13" max="13"/>
    <col width="10" customWidth="1" min="14" max="14"/>
    <col width="9" customWidth="1" min="15" max="15"/>
    <col width="10" customWidth="1" min="16" max="16"/>
    <col width="16" customWidth="1" min="17" max="17"/>
    <col width="10" customWidth="1" min="18" max="18"/>
    <col width="10" customWidth="1" min="19" max="19"/>
  </cols>
  <sheetData>
    <row r="1" ht="30" customHeight="1">
      <c r="A1" s="1" t="inlineStr">
        <is>
          <t>FIS COMPONENT BREAKDOWN  |  Rule×30  |  Behaviour×25  |  Customer×15  |  IP×15  |  Device×15</t>
        </is>
      </c>
    </row>
    <row r="2" ht="16" customHeight="1">
      <c r="A2" s="2" t="inlineStr">
        <is>
          <t>MAX_RULE=27 (fixed)  |  rating_map: low=1 med=2 high=3 very_high=4  |  kyc_map: low=1 med=2 high=3  |  max_rating=4  max_kyc=3</t>
        </is>
      </c>
    </row>
    <row r="3" ht="20" customHeight="1">
      <c r="A3" s="17" t="inlineStr">
        <is>
          <t xml:space="preserve">  RULE COMPONENT                    BEHAVIOUR COMPONENT                    CUSTOMER COMPONENT              IP       DEVICE       TOTAL</t>
        </is>
      </c>
    </row>
    <row r="4" ht="52" customHeight="1">
      <c r="A4" s="3" t="inlineStr">
        <is>
          <t>Txn ID</t>
        </is>
      </c>
      <c r="B4" s="3" t="inlineStr">
        <is>
          <t>Rule
Score</t>
        </is>
      </c>
      <c r="C4" s="3" t="inlineStr">
        <is>
          <t>Rule
Risk
(÷27)</t>
        </is>
      </c>
      <c r="D4" s="3" t="inlineStr">
        <is>
          <t>Rule
Comp
×30</t>
        </is>
      </c>
      <c r="E4" s="3" t="inlineStr">
        <is>
          <t>Vel
Ratio</t>
        </is>
      </c>
      <c r="F4" s="3" t="inlineStr">
        <is>
          <t>Spike
Ratio</t>
        </is>
      </c>
      <c r="G4" s="3" t="inlineStr">
        <is>
          <t>Behav
Risk</t>
        </is>
      </c>
      <c r="H4" s="3" t="inlineStr">
        <is>
          <t>Behav
Comp
×25</t>
        </is>
      </c>
      <c r="I4" s="3" t="inlineStr">
        <is>
          <t>Rating
Num</t>
        </is>
      </c>
      <c r="J4" s="3" t="inlineStr">
        <is>
          <t>KYC
Num</t>
        </is>
      </c>
      <c r="K4" s="3" t="inlineStr">
        <is>
          <t>Cust
Risk</t>
        </is>
      </c>
      <c r="L4" s="3" t="inlineStr">
        <is>
          <t>Cust
Comp
×15</t>
        </is>
      </c>
      <c r="M4" s="3" t="inlineStr">
        <is>
          <t>IP
Risk</t>
        </is>
      </c>
      <c r="N4" s="3" t="inlineStr">
        <is>
          <t>IP
Comp
×15</t>
        </is>
      </c>
      <c r="O4" s="3" t="inlineStr">
        <is>
          <t>Dev
Risk</t>
        </is>
      </c>
      <c r="P4" s="3" t="inlineStr">
        <is>
          <t>Dev
Comp
×15</t>
        </is>
      </c>
      <c r="Q4" s="3" t="inlineStr">
        <is>
          <t>FIS Raw
(Calc)</t>
        </is>
      </c>
      <c r="R4" s="3" t="inlineStr">
        <is>
          <t>P99</t>
        </is>
      </c>
      <c r="S4" s="3" t="inlineStr">
        <is>
          <t>FIS
Score</t>
        </is>
      </c>
    </row>
    <row r="5" ht="18" customHeight="1">
      <c r="A5" s="4" t="inlineStr">
        <is>
          <t>T58104</t>
        </is>
      </c>
      <c r="B5" s="18" t="n">
        <v>2</v>
      </c>
      <c r="C5" s="19" t="n">
        <v>0.074074</v>
      </c>
      <c r="D5" s="20" t="n">
        <v>2.222222</v>
      </c>
      <c r="E5" s="20" t="n">
        <v>0.1</v>
      </c>
      <c r="F5" s="20" t="n">
        <v>1</v>
      </c>
      <c r="G5" s="20" t="n">
        <v>0.55</v>
      </c>
      <c r="H5" s="20" t="n">
        <v>13.75</v>
      </c>
      <c r="I5" s="21" t="n">
        <v>2</v>
      </c>
      <c r="J5" s="21" t="n">
        <v>3</v>
      </c>
      <c r="K5" s="20" t="n">
        <v>0.25</v>
      </c>
      <c r="L5" s="20" t="n">
        <v>3.75</v>
      </c>
      <c r="M5" s="20" t="n">
        <v>0</v>
      </c>
      <c r="N5" s="20" t="n">
        <v>0</v>
      </c>
      <c r="O5" s="20" t="n">
        <v>0</v>
      </c>
      <c r="P5" s="20" t="n">
        <v>0</v>
      </c>
      <c r="Q5" s="6" t="n">
        <v>19.72222222</v>
      </c>
      <c r="R5" s="20" t="n">
        <v>36.2978</v>
      </c>
      <c r="S5" s="8" t="n">
        <v>54.33</v>
      </c>
    </row>
    <row r="6" ht="18" customHeight="1">
      <c r="A6" s="11" t="inlineStr">
        <is>
          <t>T147025</t>
        </is>
      </c>
      <c r="B6" s="22" t="n">
        <v>2</v>
      </c>
      <c r="C6" s="23" t="n">
        <v>0.074074</v>
      </c>
      <c r="D6" s="24" t="n">
        <v>2.222222</v>
      </c>
      <c r="E6" s="24" t="n">
        <v>0.1</v>
      </c>
      <c r="F6" s="24" t="n">
        <v>1</v>
      </c>
      <c r="G6" s="24" t="n">
        <v>0.55</v>
      </c>
      <c r="H6" s="24" t="n">
        <v>13.75</v>
      </c>
      <c r="I6" s="21" t="n">
        <v>2</v>
      </c>
      <c r="J6" s="21" t="n">
        <v>1</v>
      </c>
      <c r="K6" s="24" t="n">
        <v>0.383333</v>
      </c>
      <c r="L6" s="24" t="n">
        <v>5.75</v>
      </c>
      <c r="M6" s="24" t="n">
        <v>0.05</v>
      </c>
      <c r="N6" s="24" t="n">
        <v>0.75</v>
      </c>
      <c r="O6" s="24" t="n">
        <v>0</v>
      </c>
      <c r="P6" s="24" t="n">
        <v>0</v>
      </c>
      <c r="Q6" s="13" t="n">
        <v>22.47222222</v>
      </c>
      <c r="R6" s="24" t="n">
        <v>36.2978</v>
      </c>
      <c r="S6" s="14" t="n">
        <v>61.91</v>
      </c>
    </row>
    <row r="7" ht="18" customHeight="1">
      <c r="A7" s="4" t="inlineStr">
        <is>
          <t>T163425</t>
        </is>
      </c>
      <c r="B7" s="18" t="n">
        <v>7</v>
      </c>
      <c r="C7" s="19" t="n">
        <v>0.259259</v>
      </c>
      <c r="D7" s="20" t="n">
        <v>7.777778</v>
      </c>
      <c r="E7" s="20" t="n">
        <v>0.1</v>
      </c>
      <c r="F7" s="20" t="n">
        <v>1</v>
      </c>
      <c r="G7" s="20" t="n">
        <v>0.55</v>
      </c>
      <c r="H7" s="20" t="n">
        <v>13.75</v>
      </c>
      <c r="I7" s="21" t="n">
        <v>2</v>
      </c>
      <c r="J7" s="21" t="n">
        <v>3</v>
      </c>
      <c r="K7" s="20" t="n">
        <v>0.25</v>
      </c>
      <c r="L7" s="20" t="n">
        <v>3.75</v>
      </c>
      <c r="M7" s="20" t="n">
        <v>0.75</v>
      </c>
      <c r="N7" s="20" t="n">
        <v>11.25</v>
      </c>
      <c r="O7" s="20" t="n">
        <v>0</v>
      </c>
      <c r="P7" s="20" t="n">
        <v>0</v>
      </c>
      <c r="Q7" s="6" t="n">
        <v>36.52777778</v>
      </c>
      <c r="R7" s="20" t="n">
        <v>36.2978</v>
      </c>
      <c r="S7" s="8" t="n">
        <v>100</v>
      </c>
    </row>
    <row r="8" ht="18" customHeight="1">
      <c r="A8" s="11" t="inlineStr">
        <is>
          <t>T169847</t>
        </is>
      </c>
      <c r="B8" s="22" t="n">
        <v>5</v>
      </c>
      <c r="C8" s="23" t="n">
        <v>0.185185</v>
      </c>
      <c r="D8" s="24" t="n">
        <v>5.555556</v>
      </c>
      <c r="E8" s="24" t="n">
        <v>0.1</v>
      </c>
      <c r="F8" s="24" t="n">
        <v>1</v>
      </c>
      <c r="G8" s="24" t="n">
        <v>0.55</v>
      </c>
      <c r="H8" s="24" t="n">
        <v>13.75</v>
      </c>
      <c r="I8" s="21" t="n">
        <v>1</v>
      </c>
      <c r="J8" s="21" t="n">
        <v>3</v>
      </c>
      <c r="K8" s="24" t="n">
        <v>0.125</v>
      </c>
      <c r="L8" s="24" t="n">
        <v>1.875</v>
      </c>
      <c r="M8" s="24" t="n">
        <v>0.05</v>
      </c>
      <c r="N8" s="24" t="n">
        <v>0.75</v>
      </c>
      <c r="O8" s="24" t="n">
        <v>0</v>
      </c>
      <c r="P8" s="24" t="n">
        <v>0</v>
      </c>
      <c r="Q8" s="13" t="n">
        <v>21.93055556</v>
      </c>
      <c r="R8" s="24" t="n">
        <v>36.2978</v>
      </c>
      <c r="S8" s="14" t="n">
        <v>60.42</v>
      </c>
    </row>
    <row r="9" ht="18" customHeight="1">
      <c r="A9" s="4" t="inlineStr">
        <is>
          <t>T53915</t>
        </is>
      </c>
      <c r="B9" s="18" t="n">
        <v>7</v>
      </c>
      <c r="C9" s="19" t="n">
        <v>0.259259</v>
      </c>
      <c r="D9" s="20" t="n">
        <v>7.777778</v>
      </c>
      <c r="E9" s="20" t="n">
        <v>0.1</v>
      </c>
      <c r="F9" s="20" t="n">
        <v>1</v>
      </c>
      <c r="G9" s="20" t="n">
        <v>0.55</v>
      </c>
      <c r="H9" s="20" t="n">
        <v>13.75</v>
      </c>
      <c r="I9" s="21" t="n">
        <v>4</v>
      </c>
      <c r="J9" s="21" t="n">
        <v>2</v>
      </c>
      <c r="K9" s="20" t="n">
        <v>0.566667</v>
      </c>
      <c r="L9" s="20" t="n">
        <v>8.5</v>
      </c>
      <c r="M9" s="20" t="n">
        <v>0.05</v>
      </c>
      <c r="N9" s="20" t="n">
        <v>0.75</v>
      </c>
      <c r="O9" s="20" t="n">
        <v>0</v>
      </c>
      <c r="P9" s="20" t="n">
        <v>0</v>
      </c>
      <c r="Q9" s="6" t="n">
        <v>30.77777778</v>
      </c>
      <c r="R9" s="20" t="n">
        <v>36.2978</v>
      </c>
      <c r="S9" s="8" t="n">
        <v>84.79000000000001</v>
      </c>
    </row>
    <row r="11" ht="36" customHeight="1">
      <c r="A11" s="16" t="inlineStr">
        <is>
          <t>Yellow = customer_risk_rating_num &amp; kyc_level_num  |  Cust Risk = (rating/4)×0.5 + pep×0.3 + (3−kyc)/3×0.2  |  All FIS Raw values match notebook exactly.</t>
        </is>
      </c>
    </row>
  </sheetData>
  <mergeCells count="4">
    <mergeCell ref="A11:S11"/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9" customWidth="1" min="5" max="5"/>
    <col width="8" customWidth="1" min="6" max="6"/>
    <col width="18" customWidth="1" min="7" max="7"/>
    <col width="18" customWidth="1" min="8" max="8"/>
    <col width="14" customWidth="1" min="9" max="9"/>
  </cols>
  <sheetData>
    <row r="1" ht="30" customHeight="1">
      <c r="A1" s="1" t="inlineStr">
        <is>
          <t>CUSTOMER RISK — Full Calculation Detail</t>
        </is>
      </c>
    </row>
    <row r="2" ht="16" customHeight="1">
      <c r="A2" s="2" t="inlineStr">
        <is>
          <t>customer_risk = (rating_num / max_rating) × 0.5  +  pep_flag × 0.3  +  ((max_kyc − kyc_num) / max_kyc) × 0.2  |  max_rating=4  max_kyc=3</t>
        </is>
      </c>
    </row>
    <row r="3" ht="20" customHeight="1">
      <c r="A3" s="17" t="inlineStr">
        <is>
          <t xml:space="preserve">  CUSTOMER RISK BREAKDOWN  (rating_map: low=1 med=2 high=3 very_high=4  |  kyc_map: low=1 med=2 high=3)</t>
        </is>
      </c>
    </row>
    <row r="4" ht="48" customHeight="1">
      <c r="A4" s="3" t="inlineStr">
        <is>
          <t>Txn ID</t>
        </is>
      </c>
      <c r="B4" s="3" t="inlineStr">
        <is>
          <t>Customer
Risk Rating</t>
        </is>
      </c>
      <c r="C4" s="3" t="inlineStr">
        <is>
          <t>Rating
Num</t>
        </is>
      </c>
      <c r="D4" s="3" t="inlineStr">
        <is>
          <t>KYC
Level</t>
        </is>
      </c>
      <c r="E4" s="3" t="inlineStr">
        <is>
          <t>KYC
Num</t>
        </is>
      </c>
      <c r="F4" s="3" t="inlineStr">
        <is>
          <t>PEP
Flag</t>
        </is>
      </c>
      <c r="G4" s="3" t="inlineStr">
        <is>
          <t>Rating
Sub-score
(÷4)×0.5</t>
        </is>
      </c>
      <c r="H4" s="3" t="inlineStr">
        <is>
          <t>KYC Gap
Sub-score
((3−kyc)/3)×0.2</t>
        </is>
      </c>
      <c r="I4" s="3" t="inlineStr">
        <is>
          <t>Customer
Risk
(Total)</t>
        </is>
      </c>
    </row>
    <row r="5" ht="18" customHeight="1">
      <c r="A5" s="4" t="inlineStr">
        <is>
          <t>T58104</t>
        </is>
      </c>
      <c r="B5" s="4" t="inlineStr">
        <is>
          <t>medium</t>
        </is>
      </c>
      <c r="C5" s="25" t="n">
        <v>2</v>
      </c>
      <c r="D5" s="4" t="inlineStr">
        <is>
          <t>high</t>
        </is>
      </c>
      <c r="E5" s="25" t="n">
        <v>3</v>
      </c>
      <c r="F5" s="4" t="n">
        <v>0</v>
      </c>
      <c r="G5" s="20" t="n">
        <v>0.25</v>
      </c>
      <c r="H5" s="20" t="n">
        <v>0</v>
      </c>
      <c r="I5" s="26" t="n">
        <v>0.25</v>
      </c>
    </row>
    <row r="6" ht="18" customHeight="1">
      <c r="A6" s="11" t="inlineStr">
        <is>
          <t>T147025</t>
        </is>
      </c>
      <c r="B6" s="11" t="inlineStr">
        <is>
          <t>medium</t>
        </is>
      </c>
      <c r="C6" s="25" t="n">
        <v>2</v>
      </c>
      <c r="D6" s="11" t="inlineStr">
        <is>
          <t>low</t>
        </is>
      </c>
      <c r="E6" s="25" t="n">
        <v>1</v>
      </c>
      <c r="F6" s="11" t="n">
        <v>0</v>
      </c>
      <c r="G6" s="24" t="n">
        <v>0.25</v>
      </c>
      <c r="H6" s="24" t="n">
        <v>0.1333</v>
      </c>
      <c r="I6" s="26" t="n">
        <v>0.383333</v>
      </c>
    </row>
    <row r="7" ht="18" customHeight="1">
      <c r="A7" s="4" t="inlineStr">
        <is>
          <t>T163425</t>
        </is>
      </c>
      <c r="B7" s="4" t="inlineStr">
        <is>
          <t>medium</t>
        </is>
      </c>
      <c r="C7" s="25" t="n">
        <v>2</v>
      </c>
      <c r="D7" s="4" t="inlineStr">
        <is>
          <t>high</t>
        </is>
      </c>
      <c r="E7" s="25" t="n">
        <v>3</v>
      </c>
      <c r="F7" s="4" t="n">
        <v>0</v>
      </c>
      <c r="G7" s="20" t="n">
        <v>0.25</v>
      </c>
      <c r="H7" s="20" t="n">
        <v>0</v>
      </c>
      <c r="I7" s="26" t="n">
        <v>0.25</v>
      </c>
    </row>
    <row r="8" ht="18" customHeight="1">
      <c r="A8" s="11" t="inlineStr">
        <is>
          <t>T169847</t>
        </is>
      </c>
      <c r="B8" s="11" t="inlineStr">
        <is>
          <t>low</t>
        </is>
      </c>
      <c r="C8" s="25" t="n">
        <v>1</v>
      </c>
      <c r="D8" s="11" t="inlineStr">
        <is>
          <t>high</t>
        </is>
      </c>
      <c r="E8" s="25" t="n">
        <v>3</v>
      </c>
      <c r="F8" s="11" t="n">
        <v>0</v>
      </c>
      <c r="G8" s="24" t="n">
        <v>0.125</v>
      </c>
      <c r="H8" s="24" t="n">
        <v>0</v>
      </c>
      <c r="I8" s="26" t="n">
        <v>0.125</v>
      </c>
    </row>
    <row r="9" ht="18" customHeight="1">
      <c r="A9" s="4" t="inlineStr">
        <is>
          <t>T53915</t>
        </is>
      </c>
      <c r="B9" s="4" t="inlineStr">
        <is>
          <t>very_high</t>
        </is>
      </c>
      <c r="C9" s="25" t="n">
        <v>4</v>
      </c>
      <c r="D9" s="4" t="inlineStr">
        <is>
          <t>medium</t>
        </is>
      </c>
      <c r="E9" s="25" t="n">
        <v>2</v>
      </c>
      <c r="F9" s="4" t="n">
        <v>0</v>
      </c>
      <c r="G9" s="20" t="n">
        <v>0.5</v>
      </c>
      <c r="H9" s="20" t="n">
        <v>0.0667</v>
      </c>
      <c r="I9" s="26" t="n">
        <v>0.566667</v>
      </c>
    </row>
    <row r="11" ht="36" customHeight="1">
      <c r="A11" s="16" t="inlineStr">
        <is>
          <t>KYC Gap sub-score: Higher KYC level (e.g. high=3) → smaller gap → lower risk contribution. Lower KYC level (e.g. low=1) → larger gap → higher risk. T147025 (kyc=low→1) has the highest KYC gap contribution.</t>
        </is>
      </c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28" customWidth="1" min="5" max="5"/>
    <col width="36" customWidth="1" min="6" max="6"/>
  </cols>
  <sheetData>
    <row r="1" ht="30" customHeight="1">
      <c r="A1" s="1" t="inlineStr">
        <is>
          <t>FIS FORMULA REFERENCE  |  Corrected &amp; Confirmed Code</t>
        </is>
      </c>
    </row>
    <row r="3" ht="22" customHeight="1">
      <c r="A3" s="27" t="inlineStr">
        <is>
          <t>STEP</t>
        </is>
      </c>
      <c r="B3" s="28" t="inlineStr">
        <is>
          <t>COMPONENT</t>
        </is>
      </c>
      <c r="C3" s="28" t="inlineStr">
        <is>
          <t>FORMULA / LOGIC</t>
        </is>
      </c>
      <c r="D3" s="27" t="inlineStr">
        <is>
          <t>WEIGHT</t>
        </is>
      </c>
      <c r="E3" s="28" t="inlineStr">
        <is>
          <t>PARAMETERS</t>
        </is>
      </c>
      <c r="F3" s="28" t="inlineStr">
        <is>
          <t>WORKED EXAMPLE (T163425)</t>
        </is>
      </c>
    </row>
    <row r="4" ht="72" customHeight="1">
      <c r="A4" s="29" t="inlineStr">
        <is>
          <t>1</t>
        </is>
      </c>
      <c r="B4" s="30" t="inlineStr">
        <is>
          <t>Rule Risk</t>
        </is>
      </c>
      <c r="C4" s="30" t="inlineStr">
        <is>
          <t>rule_risk = weighted_rule_score / 27
(MAX_RULE=27 — confirmed from notebook)</t>
        </is>
      </c>
      <c r="D4" s="29" t="inlineStr">
        <is>
          <t>×30</t>
        </is>
      </c>
      <c r="E4" s="30" t="inlineStr">
        <is>
          <t>MAX_RULE = 27 (fixed)
Range: [0, 1]</t>
        </is>
      </c>
      <c r="F4" s="30" t="inlineStr">
        <is>
          <t>7 / 27 = 0.259259
→ ×30 = 7.7778</t>
        </is>
      </c>
    </row>
    <row r="5" ht="72" customHeight="1">
      <c r="A5" s="31" t="inlineStr">
        <is>
          <t>2a</t>
        </is>
      </c>
      <c r="B5" s="32" t="inlineStr">
        <is>
          <t>Velocity Ratio</t>
        </is>
      </c>
      <c r="C5" s="32" t="inlineStr">
        <is>
          <t>vel = (txn_1h / (txn_30d+1)).clip(5) / 5</t>
        </is>
      </c>
      <c r="D5" s="31" t="inlineStr">
        <is>
          <t>—</t>
        </is>
      </c>
      <c r="E5" s="32" t="inlineStr">
        <is>
          <t>Burst frequency
Capped at 1.0</t>
        </is>
      </c>
      <c r="F5" s="32" t="inlineStr">
        <is>
          <t>1/(1+1)=0.5 → /5 = 0.1000</t>
        </is>
      </c>
    </row>
    <row r="6" ht="72" customHeight="1">
      <c r="A6" s="29" t="inlineStr">
        <is>
          <t>2b</t>
        </is>
      </c>
      <c r="B6" s="30" t="inlineStr">
        <is>
          <t>Amount Spike</t>
        </is>
      </c>
      <c r="C6" s="30" t="inlineStr">
        <is>
          <t>daily_avg = outflow_30d/30 + 1
spike = (amount / daily_avg).clip(5) / 5</t>
        </is>
      </c>
      <c r="D6" s="29" t="inlineStr">
        <is>
          <t>—</t>
        </is>
      </c>
      <c r="E6" s="30" t="inlineStr">
        <is>
          <t>Amount anomaly
Capped at 1.0</t>
        </is>
      </c>
      <c r="F6" s="30" t="inlineStr">
        <is>
          <t>daily_avg=667.64
19979/667.64=29.93→1.0000</t>
        </is>
      </c>
    </row>
    <row r="7" ht="72" customHeight="1">
      <c r="A7" s="31" t="inlineStr">
        <is>
          <t>2c</t>
        </is>
      </c>
      <c r="B7" s="32" t="inlineStr">
        <is>
          <t>Behaviour Risk</t>
        </is>
      </c>
      <c r="C7" s="32" t="inlineStr">
        <is>
          <t>behaviour = (vel + spike) / 2</t>
        </is>
      </c>
      <c r="D7" s="31" t="inlineStr">
        <is>
          <t>×25</t>
        </is>
      </c>
      <c r="E7" s="32" t="inlineStr">
        <is>
          <t>Equal weight
Range: [0,1]</t>
        </is>
      </c>
      <c r="F7" s="32" t="inlineStr">
        <is>
          <t>(0.1+1.0)/2=0.5500
→ ×25 = 13.7500</t>
        </is>
      </c>
    </row>
    <row r="8" ht="72" customHeight="1">
      <c r="A8" s="29" t="inlineStr">
        <is>
          <t>3</t>
        </is>
      </c>
      <c r="B8" s="30" t="inlineStr">
        <is>
          <t>Customer Risk</t>
        </is>
      </c>
      <c r="C8" s="30">
        <f> (rating_num / 4) × 0.5
+ pep_flag × 0.3
+ ((3 − kyc_num) / 3) × 0.2
rating: low=1,medium=2,high=3,very_high=4
kyc:    low=1,medium=2,high=3</f>
        <v/>
      </c>
      <c r="D8" s="29" t="inlineStr">
        <is>
          <t>×15</t>
        </is>
      </c>
      <c r="E8" s="30" t="inlineStr">
        <is>
          <t>max_rating=4
max_kyc=3
Range: [0,1]</t>
        </is>
      </c>
      <c r="F8" s="30" t="inlineStr">
        <is>
          <t>medium→2, kyc_high→3
(2/4)×0.5 + 0 + (3-3)/3×0.2
= 0.25
→ ×15 = 3.7500</t>
        </is>
      </c>
    </row>
    <row r="9" ht="72" customHeight="1">
      <c r="A9" s="31" t="inlineStr">
        <is>
          <t>4</t>
        </is>
      </c>
      <c r="B9" s="32" t="inlineStr">
        <is>
          <t>IP Risk</t>
        </is>
      </c>
      <c r="C9" s="32" t="inlineStr">
        <is>
          <t>ip = ip_risk_score.clip(0,1)
[÷100 if score &gt;1]</t>
        </is>
      </c>
      <c r="D9" s="31" t="inlineStr">
        <is>
          <t>×15</t>
        </is>
      </c>
      <c r="E9" s="32" t="inlineStr">
        <is>
          <t>Already 0–1 in this dataset</t>
        </is>
      </c>
      <c r="F9" s="32" t="inlineStr">
        <is>
          <t>0.75 → ×15 = 11.2500</t>
        </is>
      </c>
    </row>
    <row r="10" ht="72" customHeight="1">
      <c r="A10" s="29" t="inlineStr">
        <is>
          <t>5</t>
        </is>
      </c>
      <c r="B10" s="30" t="inlineStr">
        <is>
          <t>Device Risk</t>
        </is>
      </c>
      <c r="C10" s="30" t="inlineStr">
        <is>
          <t>device = (vpn + rooted + emulator) / 3</t>
        </is>
      </c>
      <c r="D10" s="29" t="inlineStr">
        <is>
          <t>×15</t>
        </is>
      </c>
      <c r="E10" s="30" t="inlineStr">
        <is>
          <t>3 binary flags
All 0 here</t>
        </is>
      </c>
      <c r="F10" s="30" t="inlineStr">
        <is>
          <t>0+0+0 → 0.0000 → ×15=0.00</t>
        </is>
      </c>
    </row>
    <row r="11" ht="72" customHeight="1">
      <c r="A11" s="31" t="inlineStr">
        <is>
          <t>6</t>
        </is>
      </c>
      <c r="B11" s="32" t="inlineStr">
        <is>
          <t>FIS Raw</t>
        </is>
      </c>
      <c r="C11" s="32" t="inlineStr">
        <is>
          <t>raw = rule×30 + behav×25 + cust×15 + ip×15 + dev×15</t>
        </is>
      </c>
      <c r="D11" s="31" t="inlineStr">
        <is>
          <t>Σ=100</t>
        </is>
      </c>
      <c r="E11" s="32" t="inlineStr">
        <is>
          <t>Max possible = 100</t>
        </is>
      </c>
      <c r="F11" s="32" t="inlineStr">
        <is>
          <t>7.7778+13.75+3.75+11.25+0
= 36.52777778</t>
        </is>
      </c>
    </row>
    <row r="12" ht="72" customHeight="1">
      <c r="A12" s="29" t="inlineStr">
        <is>
          <t>7</t>
        </is>
      </c>
      <c r="B12" s="30" t="inlineStr">
        <is>
          <t>FIS Score</t>
        </is>
      </c>
      <c r="C12" s="30" t="inlineStr">
        <is>
          <t>p99 = raw.quantile(0.99)
score = (raw/p99).clip(1) × 100</t>
        </is>
      </c>
      <c r="D12" s="29" t="inlineStr">
        <is>
          <t>0–100</t>
        </is>
      </c>
      <c r="E12" s="30" t="inlineStr">
        <is>
          <t>P99=36.2978 (5-row sample)
Full dataset P99 will differ</t>
        </is>
      </c>
      <c r="F12" s="30" t="inlineStr">
        <is>
          <t>(36.5278/36.2978)×100
= 100.0</t>
        </is>
      </c>
    </row>
    <row r="13" ht="72" customHeight="1">
      <c r="A13" s="31" t="inlineStr">
        <is>
          <t>8</t>
        </is>
      </c>
      <c r="B13" s="32" t="inlineStr">
        <is>
          <t>FIS Band</t>
        </is>
      </c>
      <c r="C13" s="32" t="inlineStr">
        <is>
          <t>(0–20]=very_low
(20–40]=low
(40–60]=medium
(60–80]=high
(80–100]=critical</t>
        </is>
      </c>
      <c r="D13" s="31" t="inlineStr">
        <is>
          <t>Label</t>
        </is>
      </c>
      <c r="E13" s="32" t="inlineStr">
        <is>
          <t>5 tiers</t>
        </is>
      </c>
      <c r="F13" s="32" t="inlineStr">
        <is>
          <t>100.0 → critical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2026-03-04T15:37:29Z</dcterms:created>
  <dcterms:modified xmlns:dcterms="http://purl.org/dc/terms/" xmlns:xsi="http://www.w3.org/2001/XMLSchema-instance" xsi:type="dcterms:W3CDTF">2026-03-04T15:37:29Z</dcterms:modified>
</cp:coreProperties>
</file>