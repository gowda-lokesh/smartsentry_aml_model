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0" documentId="8_{8B473603-F6A3-4EAC-B917-06D9E44EF8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egory Summary" sheetId="2" r:id="rId1"/>
    <sheet name="Feature Catalogue" sheetId="1" r:id="rId2"/>
    <sheet name="Config Reference" sheetId="3" r:id="rId3"/>
  </sheets>
  <definedNames>
    <definedName name="_xlnm._FilterDatabase" localSheetId="1" hidden="1">'Feature Catalogue'!$A$2:$G$189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<sst xmlns="http://schemas.openxmlformats.org/spreadsheetml/2006/main" count="1343" uniqueCount="746">
  <si>
    <t>SmartSentry AML — Feature Catalogue</t>
  </si>
  <si>
    <t>Feature Name</t>
  </si>
  <si>
    <t>Category</t>
  </si>
  <si>
    <t>Description</t>
  </si>
  <si>
    <t>How It Is Created</t>
  </si>
  <si>
    <t>Config / Thresholds</t>
  </si>
  <si>
    <t>Data Type</t>
  </si>
  <si>
    <t>Notes</t>
  </si>
  <si>
    <t>transaction_id</t>
  </si>
  <si>
    <t>Raw / Pass-through</t>
  </si>
  <si>
    <t>Unique transaction identifier (PK).</t>
  </si>
  <si>
    <t>Auto-generated as 'T{counter}' in build_row(); oversampled rows get suffix '_OS'.</t>
  </si>
  <si>
    <t>N/A</t>
  </si>
  <si>
    <t>string</t>
  </si>
  <si>
    <t>customer_id</t>
  </si>
  <si>
    <t>Customer who owns the sender account.</t>
  </si>
  <si>
    <t>Looked up from accounts.csv via acc_meta; carried to every row.</t>
  </si>
  <si>
    <t>sender_account_id</t>
  </si>
  <si>
    <t>Account debited in this transaction.</t>
  </si>
  <si>
    <t>Set directly in build_row() from fraud/legit generation loops.</t>
  </si>
  <si>
    <t>receiver_account_id</t>
  </si>
  <si>
    <t>Internal destination account (if intra-bank transfer).</t>
  </si>
  <si>
    <t>Set in build_row(); mutually exclusive with beneficiary_id.</t>
  </si>
  <si>
    <t>XOR with beneficiary_id</t>
  </si>
  <si>
    <t>beneficiary_id</t>
  </si>
  <si>
    <t>External beneficiary FK (if outbound transfer).</t>
  </si>
  <si>
    <t>Sampled from account_beneficiaries_map; mutually exclusive with receiver_account_id.</t>
  </si>
  <si>
    <t>XOR with receiver_account_id</t>
  </si>
  <si>
    <t>device_id</t>
  </si>
  <si>
    <t>Device used for this transaction.</t>
  </si>
  <si>
    <t>Mapped from account_device_map; ATO typologies assign a different (foreign) device.</t>
  </si>
  <si>
    <t>timestamp</t>
  </si>
  <si>
    <t>Exact datetime of the transaction.</t>
  </si>
  <si>
    <t>random_ts() samples day within window + weighted hour + random min/sec.</t>
  </si>
  <si>
    <t>START_DATE=2025-09-01, END_DATE=2025-12-31</t>
  </si>
  <si>
    <t>datetime</t>
  </si>
  <si>
    <t>amount</t>
  </si>
  <si>
    <t>Transaction amount in INR (₹).</t>
  </si>
  <si>
    <t>np.random.lognormal(mean, sigma) per KYC tier; smurfing uses uniform within [amount_min, amount_max].</t>
  </si>
  <si>
    <t>KYC low: μ=7,σ=1; medium: μ=8,σ=1; high: μ=9.5,σ=1</t>
  </si>
  <si>
    <t>float</t>
  </si>
  <si>
    <t>channel</t>
  </si>
  <si>
    <t>Transaction channel (mobile/web/branch/atm).</t>
  </si>
  <si>
    <t>random.choices(CHANNELS, weights=CHANNEL_PROBS) or forced per typology.</t>
  </si>
  <si>
    <t>CHANNEL_PROBS=[0.50,0.30,0.10,0.10]</t>
  </si>
  <si>
    <t>debit_credit</t>
  </si>
  <si>
    <t>Always 'debit' in raw table (sender perspective).</t>
  </si>
  <si>
    <t>Hardcoded 'debit' in build_row(); credit side created in 02b event-log melt.</t>
  </si>
  <si>
    <t>transaction_type</t>
  </si>
  <si>
    <t>Payment instrument (UPI, IMPS, NEFT, etc.).</t>
  </si>
  <si>
    <t>get_txn_type() samples from TXN_TYPES_BY_CHANNEL[channel].</t>
  </si>
  <si>
    <t>mobile: UPI/IMPS/wallet_transfer; web: NEFT/RTGS/online_transfer; branch/atm: cash types</t>
  </si>
  <si>
    <t>cash_flag</t>
  </si>
  <si>
    <t>1 if transaction involves physical cash.</t>
  </si>
  <si>
    <t>is_cash(txn_type) checks membership in CASH_TXN_TYPES; forced=1 for smurfing typologies.</t>
  </si>
  <si>
    <t>CASH_TXN_TYPES={cash_deposit, cash_withdrawal, DD}</t>
  </si>
  <si>
    <t>int (0/1)</t>
  </si>
  <si>
    <t>synthetic_flow_id</t>
  </si>
  <si>
    <t>Flow group ID linking multi-hop layering / mule-ring chains.</t>
  </si>
  <si>
    <t>Assigned per ring/chain in fraud loops: 'FLOW_{counter:05d}'.</t>
  </si>
  <si>
    <t>N/A – only non-null for mule_ring &amp; layering typologies</t>
  </si>
  <si>
    <t>Null for non-flow txns</t>
  </si>
  <si>
    <t>flow_depth</t>
  </si>
  <si>
    <t>Total number of accounts in the synthetic flow (chain length).</t>
  </si>
  <si>
    <t>Set to len(mule_accs) for mule_ring; chain_length for layering.</t>
  </si>
  <si>
    <t>mule_ring: accounts_per_ring=10; layering: chain_length=3</t>
  </si>
  <si>
    <t>int</t>
  </si>
  <si>
    <t>hop_number</t>
  </si>
  <si>
    <t>Position of this transaction within its flow (1=origin).</t>
  </si>
  <si>
    <t>Loop index (hop_i) in mule_ring / layering chain construction.</t>
  </si>
  <si>
    <t>time_since_origin_ts</t>
  </si>
  <si>
    <t>Timestamp of the first hop in this flow.</t>
  </si>
  <si>
    <t>Injected during fraud generation; 02b backfills nulls using per-flow origin timestamp from hop_number==1.</t>
  </si>
  <si>
    <t>fraud_type</t>
  </si>
  <si>
    <t>Typology label used to generate the transaction.</t>
  </si>
  <si>
    <t>Set in build_row() per generation function: 'normal', 'mule_ring', 'layering', 'ATO', 'smurfing', 'identity_fraud', 'dormant_ATO', 'dormant_smurfing', 'dormant_to_offshore', 'inactive_ATO', 'inactive_smurfing', 'inactive_to_offshore'.</t>
  </si>
  <si>
    <t>11 distinct values</t>
  </si>
  <si>
    <t>For ML use only – not a model input</t>
  </si>
  <si>
    <t>label</t>
  </si>
  <si>
    <t>Ground-truth fraud label (1=fraud, 0=legit).</t>
  </si>
  <si>
    <t>Set to 1 for all fraud-typology rows; 0 for normal/inactive_legit. Oversampled to hit TARGET_FRAUD_RATE.</t>
  </si>
  <si>
    <t>TARGET_FRAUD_RATE=0.04</t>
  </si>
  <si>
    <t>avg_balance</t>
  </si>
  <si>
    <t>KYC / Entity Risk</t>
  </si>
  <si>
    <t>Account's average historical balance (₹).</t>
  </si>
  <si>
    <t>FK-joined from accounts.csv on sender_account_id.</t>
  </si>
  <si>
    <t>Used as balance seed in 02b</t>
  </si>
  <si>
    <t>account_open_days</t>
  </si>
  <si>
    <t>Age of the sender account in days, dynamic (increases per day elapsed).</t>
  </si>
  <si>
    <t>Static value from accounts.csv joined in 02a; 02b increments by days elapsed since START_DATE.</t>
  </si>
  <si>
    <t>START_DATE=2025-09-01</t>
  </si>
  <si>
    <t>kyc_level</t>
  </si>
  <si>
    <t>KYC verification tier of the account holder.</t>
  </si>
  <si>
    <t>FK-joined from accounts.csv.</t>
  </si>
  <si>
    <t>Values: low / medium / high</t>
  </si>
  <si>
    <t>country_risk</t>
  </si>
  <si>
    <t>Country risk rating of the sender.</t>
  </si>
  <si>
    <t>income_bracket</t>
  </si>
  <si>
    <t>Income tier of the customer.</t>
  </si>
  <si>
    <t>customer_risk_rating</t>
  </si>
  <si>
    <t>Overall CDD risk rating.</t>
  </si>
  <si>
    <t>Values: low / medium / high / very_high</t>
  </si>
  <si>
    <t>pep_flag</t>
  </si>
  <si>
    <t>1 if customer is a Politically Exposed Person.</t>
  </si>
  <si>
    <t>occupation</t>
  </si>
  <si>
    <t>Customer occupation.</t>
  </si>
  <si>
    <t>Values: salaried / self_employed / student / unemployed / freelancer / retired / unknown</t>
  </si>
  <si>
    <t>industry</t>
  </si>
  <si>
    <t>Industry of the customer/business.</t>
  </si>
  <si>
    <t>Values: real_estate / construction / healthcare / unknown / …</t>
  </si>
  <si>
    <t>account_type</t>
  </si>
  <si>
    <t>Account classification.</t>
  </si>
  <si>
    <t>Values: savings / current / corporate / business</t>
  </si>
  <si>
    <t>home_lat</t>
  </si>
  <si>
    <t>Customer's registered home latitude.</t>
  </si>
  <si>
    <t>home_lon</t>
  </si>
  <si>
    <t>Customer's registered home longitude.</t>
  </si>
  <si>
    <t>home_city</t>
  </si>
  <si>
    <t>Customer's registered home city.</t>
  </si>
  <si>
    <t>shared_kyc_id</t>
  </si>
  <si>
    <t>Shared KYC document group ID (indicates synthetic identity).</t>
  </si>
  <si>
    <t>Hashed from synthetic_flow_id or account_id per typology in Cell A-10.</t>
  </si>
  <si>
    <t>mule_ring (KYC_*), dormant_smurfing (KYC_*), inactive_to_offshore (INACT_KYC_OFF_*)</t>
  </si>
  <si>
    <t>Null for legit</t>
  </si>
  <si>
    <t>shared_phone_hash</t>
  </si>
  <si>
    <t>Shared phone hash group ID.</t>
  </si>
  <si>
    <t>Hashed per typology in Cell A-10: layering→PHONE, dormant_smurfing→PHONE, inactive_smurfing→INACT_PHONE_SM, inactive_to_offshore→INACT_PHONE_OFF.</t>
  </si>
  <si>
    <t>n_groups varies: 50–400</t>
  </si>
  <si>
    <t>shared_email_hash</t>
  </si>
  <si>
    <t>Shared email hash group ID.</t>
  </si>
  <si>
    <t>Hashed per typology in Cell A-10: smurfing→EMAIL, identity_fraud→EMAIL, ATO/dormant_ATO→EMAIL, inactive_ATO→INACT_EMAIL_ATO, inactive_smurfing→INACT_EMAIL_SM.</t>
  </si>
  <si>
    <t>beneficiary_type</t>
  </si>
  <si>
    <t>Type of the destination beneficiary.</t>
  </si>
  <si>
    <t>FK-joined from beneficiaries.csv.</t>
  </si>
  <si>
    <t>Values: individual / crypto / offshore / corporate</t>
  </si>
  <si>
    <t>Null if receiver_account_id is set</t>
  </si>
  <si>
    <t>beneficiary_country_risk</t>
  </si>
  <si>
    <t>Country risk of the beneficiary.</t>
  </si>
  <si>
    <t>device_age_days</t>
  </si>
  <si>
    <t>IP / Geo / Device</t>
  </si>
  <si>
    <t>Age of the transacting device in days.</t>
  </si>
  <si>
    <t>FK-joined from devices.csv.</t>
  </si>
  <si>
    <t>rooted_flag</t>
  </si>
  <si>
    <t>1 if device is rooted/jailbroken.</t>
  </si>
  <si>
    <t>os_type</t>
  </si>
  <si>
    <t>Device operating system.</t>
  </si>
  <si>
    <t>Values: android / ios</t>
  </si>
  <si>
    <t>vpn_flag</t>
  </si>
  <si>
    <t>1 if VPN usage detected.</t>
  </si>
  <si>
    <t>emulator_flag</t>
  </si>
  <si>
    <t>1 if transaction originated from an emulator.</t>
  </si>
  <si>
    <t>ip_address</t>
  </si>
  <si>
    <t>IP address used for the transaction.</t>
  </si>
  <si>
    <t>Assigned in Cell A-9: home IP (10.x.x.x), roaming IP (random public), or risk IP from HIGH_RISK_IP_PREFIXES pool.</t>
  </si>
  <si>
    <t>IP_HOME_FRAC=0.70, IP_ROAM_FRAC=0.20; risk pool: 10 prefixes × 20 IPs</t>
  </si>
  <si>
    <t>inactive_ATO always risk IP</t>
  </si>
  <si>
    <t>ip_risk_score</t>
  </si>
  <si>
    <t>Numeric risk score of the IP address [0,1].</t>
  </si>
  <si>
    <t>Base score by ip_type (home=0.05, roam=0.30, risk=0.80) + additive adjustments: +0.15 VPN, +0.10 rooted, +0.10 emulator, +0.10 night, +0.05 high country_risk, -0.05 high KYC, +0.05 inactive fraud reactivation. Clipped [0,1].</t>
  </si>
  <si>
    <t>IP_HOME_BASE_SCORE=0.05, IP_ROAM_BASE_SCORE=0.30, IP_RISK_BASE_SCORE=0.80</t>
  </si>
  <si>
    <t>float [0,1]</t>
  </si>
  <si>
    <t>geo_lat</t>
  </si>
  <si>
    <t>Transaction geolocation latitude.</t>
  </si>
  <si>
    <t>Home: customer's home_lat ± N(0,0.05); Roam: random city ± N(0,0.3); Risk: uniform(-60,70).</t>
  </si>
  <si>
    <t>ROAM_CITIES: 10 major Indian cities</t>
  </si>
  <si>
    <t>geo_lon</t>
  </si>
  <si>
    <t>Transaction geolocation longitude.</t>
  </si>
  <si>
    <t>Home: customer's home_lon ± N(0,0.05); Roam: random city ± N(0,0.3); Risk: uniform(-180,180).</t>
  </si>
  <si>
    <t>no_of_inactive_days</t>
  </si>
  <si>
    <t>Inactive Account</t>
  </si>
  <si>
    <t>Number of days the account was silent before reactivation.</t>
  </si>
  <si>
    <t>NaN for non-inactive accounts. 0 for inactive accounts still in pre-silence early cluster. ≥45 for reactivation rows: computed as (reactivation_ts.date − last_pre_silence_ts.date).days.</t>
  </si>
  <si>
    <t>INACTIVE_GAP_DAYS=45; INACTIVE_EARLY_END=max(20, DATE_RANGE_DAYS×0.15); INACTIVE_REACT_START=INACTIVE_EARLY_END+45</t>
  </si>
  <si>
    <t>NaN=non-inactive; 0=pre-silence; ≥45=reactivated</t>
  </si>
  <si>
    <t>txn_hour</t>
  </si>
  <si>
    <t>Temporal</t>
  </si>
  <si>
    <t>Hour of day the transaction occurred (0–23).</t>
  </si>
  <si>
    <t>df['timestamp'].dt.hour</t>
  </si>
  <si>
    <t>int [0,23]</t>
  </si>
  <si>
    <t>txn_day_of_week</t>
  </si>
  <si>
    <t>Day of week (0=Monday, 6=Sunday).</t>
  </si>
  <si>
    <t>df['timestamp'].dt.dayofweek</t>
  </si>
  <si>
    <t>int [0,6]</t>
  </si>
  <si>
    <t>txn_day_of_month</t>
  </si>
  <si>
    <t>Calendar day of month (1–31).</t>
  </si>
  <si>
    <t>df['timestamp'].dt.day</t>
  </si>
  <si>
    <t>int [1,31]</t>
  </si>
  <si>
    <t>txn_month</t>
  </si>
  <si>
    <t>Month number (1–12).</t>
  </si>
  <si>
    <t>df['timestamp'].dt.month</t>
  </si>
  <si>
    <t>int [1,12]</t>
  </si>
  <si>
    <t>txn_year</t>
  </si>
  <si>
    <t>Calendar year.</t>
  </si>
  <si>
    <t>df['timestamp'].dt.year</t>
  </si>
  <si>
    <t>txn_quarter</t>
  </si>
  <si>
    <t>Quarter of year (1–4).</t>
  </si>
  <si>
    <t>df['timestamp'].dt.quarter</t>
  </si>
  <si>
    <t>int [1,4]</t>
  </si>
  <si>
    <t>is_weekend</t>
  </si>
  <si>
    <t>1 if transaction falls on Saturday or Sunday.</t>
  </si>
  <si>
    <t>txn_day_of_week.isin([5,6]).astype(int)</t>
  </si>
  <si>
    <t>Weekend = day_of_week ∈ {5,6}</t>
  </si>
  <si>
    <t>is_night</t>
  </si>
  <si>
    <t>1 if transaction occurs in night hours.</t>
  </si>
  <si>
    <t>(txn_hour.between(22,23) | txn_hour.between(0,5)).astype(int)</t>
  </si>
  <si>
    <t>Night window: 22:00–05:59</t>
  </si>
  <si>
    <t>Mutually exclusive with is_business_hours</t>
  </si>
  <si>
    <t>is_business_hours</t>
  </si>
  <si>
    <t>1 if transaction occurs during standard business hours on a weekday.</t>
  </si>
  <si>
    <t>(txn_hour.between(9,17) &amp; (is_weekend==0)).astype(int)</t>
  </si>
  <si>
    <t>Business hours: 09:00–17:59, weekdays only</t>
  </si>
  <si>
    <t>Mutually exclusive with is_night</t>
  </si>
  <si>
    <t>is_early_morning</t>
  </si>
  <si>
    <t>1 if transaction occurs in early morning hours.</t>
  </si>
  <si>
    <t>txn_hour.between(0,8).astype(int)</t>
  </si>
  <si>
    <t>Early morning: 00:00–08:59</t>
  </si>
  <si>
    <t>txn_date</t>
  </si>
  <si>
    <t>Date portion of the timestamp.</t>
  </si>
  <si>
    <t>df['timestamp'].dt.date</t>
  </si>
  <si>
    <t>date</t>
  </si>
  <si>
    <t>Used internally for daily balance resets</t>
  </si>
  <si>
    <t>sender_acct_txn_count_1h</t>
  </si>
  <si>
    <t>Account Velocity</t>
  </si>
  <si>
    <t>Sender account total transaction count (debit+credit) in rolling 1-hour window (inclusive of current txn).</t>
  </si>
  <si>
    <t>Window: 1h</t>
  </si>
  <si>
    <t>sender_acct_inflow_amt_1h</t>
  </si>
  <si>
    <t>Sender account total credit (inflow) amount (₹) in rolling 1-hour window (inclusive of current txn).</t>
  </si>
  <si>
    <t>sender_acct_outflow_amt_1h</t>
  </si>
  <si>
    <t>Sender account total debit (outflow) amount (₹) in rolling 1-hour window (inclusive of current txn).</t>
  </si>
  <si>
    <t>sender_acct_inflow_count_1h</t>
  </si>
  <si>
    <t>Sender account number of credit events in rolling 1-hour window (inclusive of current txn).</t>
  </si>
  <si>
    <t>sender_acct_outflow_count_1h</t>
  </si>
  <si>
    <t>Sender account number of debit events in rolling 1-hour window (inclusive of current txn).</t>
  </si>
  <si>
    <t>sender_acct_txn_count_24h</t>
  </si>
  <si>
    <t>Sender account total transaction count (debit+credit) in rolling 24-hour window (inclusive of current txn).</t>
  </si>
  <si>
    <t>Window: 24h</t>
  </si>
  <si>
    <t>sender_acct_inflow_amt_24h</t>
  </si>
  <si>
    <t>Sender account total credit (inflow) amount (₹) in rolling 24-hour window (inclusive of current txn).</t>
  </si>
  <si>
    <t>sender_acct_outflow_amt_24h</t>
  </si>
  <si>
    <t>Sender account total debit (outflow) amount (₹) in rolling 24-hour window (inclusive of current txn).</t>
  </si>
  <si>
    <t>sender_acct_inflow_count_24h</t>
  </si>
  <si>
    <t>Sender account number of credit events in rolling 24-hour window (inclusive of current txn).</t>
  </si>
  <si>
    <t>sender_acct_outflow_count_24h</t>
  </si>
  <si>
    <t>Sender account number of debit events in rolling 24-hour window (inclusive of current txn).</t>
  </si>
  <si>
    <t>sender_acct_txn_count_7d</t>
  </si>
  <si>
    <t>Sender account total transaction count (debit+credit) in rolling 7-day window (inclusive of current txn).</t>
  </si>
  <si>
    <t>Window: 7d</t>
  </si>
  <si>
    <t>sender_acct_inflow_amt_7d</t>
  </si>
  <si>
    <t>Sender account total credit (inflow) amount (₹) in rolling 7-day window (inclusive of current txn).</t>
  </si>
  <si>
    <t>sender_acct_outflow_amt_7d</t>
  </si>
  <si>
    <t>Sender account total debit (outflow) amount (₹) in rolling 7-day window (inclusive of current txn).</t>
  </si>
  <si>
    <t>sender_acct_inflow_count_7d</t>
  </si>
  <si>
    <t>Sender account number of credit events in rolling 7-day window (inclusive of current txn).</t>
  </si>
  <si>
    <t>sender_acct_outflow_count_7d</t>
  </si>
  <si>
    <t>Sender account number of debit events in rolling 7-day window (inclusive of current txn).</t>
  </si>
  <si>
    <t>sender_acct_txn_count_30d</t>
  </si>
  <si>
    <t>Sender account total transaction count (debit+credit) in rolling 30-day window (inclusive of current txn).</t>
  </si>
  <si>
    <t>Window: 30d</t>
  </si>
  <si>
    <t>sender_acct_inflow_amt_30d</t>
  </si>
  <si>
    <t>Sender account total credit (inflow) amount (₹) in rolling 30-day window (inclusive of current txn).</t>
  </si>
  <si>
    <t>sender_acct_outflow_amt_30d</t>
  </si>
  <si>
    <t>Sender account total debit (outflow) amount (₹) in rolling 30-day window (inclusive of current txn).</t>
  </si>
  <si>
    <t>sender_acct_inflow_count_30d</t>
  </si>
  <si>
    <t>Sender account number of credit events in rolling 30-day window (inclusive of current txn).</t>
  </si>
  <si>
    <t>sender_acct_outflow_count_30d</t>
  </si>
  <si>
    <t>Sender account number of debit events in rolling 30-day window (inclusive of current txn).</t>
  </si>
  <si>
    <t>receiver_acct_txn_count_1h</t>
  </si>
  <si>
    <t>Receiver account total transaction count in rolling 1-hour window.</t>
  </si>
  <si>
    <t>NaN for external transfers</t>
  </si>
  <si>
    <t>receiver_acct_inflow_amt_1h</t>
  </si>
  <si>
    <t>Receiver account total inflow amount (₹) in rolling 1-hour window.</t>
  </si>
  <si>
    <t>receiver_acct_outflow_amt_1h</t>
  </si>
  <si>
    <t>Receiver account total outflow amount (₹) in rolling 1-hour window.</t>
  </si>
  <si>
    <t>receiver_acct_inflow_count_1h</t>
  </si>
  <si>
    <t>Receiver account number of credits in rolling 1-hour window.</t>
  </si>
  <si>
    <t>receiver_acct_outflow_count_1h</t>
  </si>
  <si>
    <t>Receiver account number of debits in rolling 1-hour window.</t>
  </si>
  <si>
    <t>receiver_acct_txn_count_24h</t>
  </si>
  <si>
    <t>Receiver account total transaction count in rolling 24-hour window.</t>
  </si>
  <si>
    <t>receiver_acct_inflow_amt_24h</t>
  </si>
  <si>
    <t>Receiver account total inflow amount (₹) in rolling 24-hour window.</t>
  </si>
  <si>
    <t>receiver_acct_outflow_amt_24h</t>
  </si>
  <si>
    <t>Receiver account total outflow amount (₹) in rolling 24-hour window.</t>
  </si>
  <si>
    <t>receiver_acct_inflow_count_24h</t>
  </si>
  <si>
    <t>Receiver account number of credits in rolling 24-hour window.</t>
  </si>
  <si>
    <t>receiver_acct_outflow_count_24h</t>
  </si>
  <si>
    <t>Receiver account number of debits in rolling 24-hour window.</t>
  </si>
  <si>
    <t>receiver_acct_txn_count_7d</t>
  </si>
  <si>
    <t>Receiver account total transaction count in rolling 7-day window.</t>
  </si>
  <si>
    <t>receiver_acct_inflow_amt_7d</t>
  </si>
  <si>
    <t>Receiver account total inflow amount (₹) in rolling 7-day window.</t>
  </si>
  <si>
    <t>receiver_acct_outflow_amt_7d</t>
  </si>
  <si>
    <t>Receiver account total outflow amount (₹) in rolling 7-day window.</t>
  </si>
  <si>
    <t>receiver_acct_inflow_count_7d</t>
  </si>
  <si>
    <t>Receiver account number of credits in rolling 7-day window.</t>
  </si>
  <si>
    <t>receiver_acct_outflow_count_7d</t>
  </si>
  <si>
    <t>Receiver account number of debits in rolling 7-day window.</t>
  </si>
  <si>
    <t>receiver_acct_txn_count_30d</t>
  </si>
  <si>
    <t>Receiver account total transaction count in rolling 30-day window.</t>
  </si>
  <si>
    <t>receiver_acct_inflow_amt_30d</t>
  </si>
  <si>
    <t>Receiver account total inflow amount (₹) in rolling 30-day window.</t>
  </si>
  <si>
    <t>receiver_acct_outflow_amt_30d</t>
  </si>
  <si>
    <t>Receiver account total outflow amount (₹) in rolling 30-day window.</t>
  </si>
  <si>
    <t>receiver_acct_inflow_count_30d</t>
  </si>
  <si>
    <t>Receiver account number of credits in rolling 30-day window.</t>
  </si>
  <si>
    <t>receiver_acct_outflow_count_30d</t>
  </si>
  <si>
    <t>Receiver account number of debits in rolling 30-day window.</t>
  </si>
  <si>
    <t>sender_cust_txn_count_1h</t>
  </si>
  <si>
    <t>Customer Velocity</t>
  </si>
  <si>
    <t>Sender's customer-level total transaction count across ALL accounts they own, rolling 1-hour window.</t>
  </si>
  <si>
    <t>Cross-account rollup</t>
  </si>
  <si>
    <t>sender_cust_inflow_amt_1h</t>
  </si>
  <si>
    <t>Sender's customer-level total inflow amount (₹) across ALL accounts they own, rolling 1-hour window.</t>
  </si>
  <si>
    <t>sender_cust_outflow_amt_1h</t>
  </si>
  <si>
    <t>Sender's customer-level total outflow amount (₹) across ALL accounts they own, rolling 1-hour window.</t>
  </si>
  <si>
    <t>sender_cust_inflow_count_1h</t>
  </si>
  <si>
    <t>Sender's customer-level number of credit events across ALL accounts they own, rolling 1-hour window.</t>
  </si>
  <si>
    <t>sender_cust_outflow_count_1h</t>
  </si>
  <si>
    <t>Sender's customer-level number of debit events across ALL accounts they own, rolling 1-hour window.</t>
  </si>
  <si>
    <t>sender_cust_txn_count_24h</t>
  </si>
  <si>
    <t>Sender's customer-level total transaction count across ALL accounts they own, rolling 24-hour window.</t>
  </si>
  <si>
    <t>sender_cust_inflow_amt_24h</t>
  </si>
  <si>
    <t>Sender's customer-level total inflow amount (₹) across ALL accounts they own, rolling 24-hour window.</t>
  </si>
  <si>
    <t>sender_cust_outflow_amt_24h</t>
  </si>
  <si>
    <t>Sender's customer-level total outflow amount (₹) across ALL accounts they own, rolling 24-hour window.</t>
  </si>
  <si>
    <t>sender_cust_inflow_count_24h</t>
  </si>
  <si>
    <t>Sender's customer-level number of credit events across ALL accounts they own, rolling 24-hour window.</t>
  </si>
  <si>
    <t>sender_cust_outflow_count_24h</t>
  </si>
  <si>
    <t>Sender's customer-level number of debit events across ALL accounts they own, rolling 24-hour window.</t>
  </si>
  <si>
    <t>sender_cust_txn_count_7d</t>
  </si>
  <si>
    <t>Sender's customer-level total transaction count across ALL accounts they own, rolling 7-day window.</t>
  </si>
  <si>
    <t>sender_cust_inflow_amt_7d</t>
  </si>
  <si>
    <t>Sender's customer-level total inflow amount (₹) across ALL accounts they own, rolling 7-day window.</t>
  </si>
  <si>
    <t>sender_cust_outflow_amt_7d</t>
  </si>
  <si>
    <t>Sender's customer-level total outflow amount (₹) across ALL accounts they own, rolling 7-day window.</t>
  </si>
  <si>
    <t>sender_cust_inflow_count_7d</t>
  </si>
  <si>
    <t>Sender's customer-level number of credit events across ALL accounts they own, rolling 7-day window.</t>
  </si>
  <si>
    <t>sender_cust_outflow_count_7d</t>
  </si>
  <si>
    <t>Sender's customer-level number of debit events across ALL accounts they own, rolling 7-day window.</t>
  </si>
  <si>
    <t>sender_cust_txn_count_30d</t>
  </si>
  <si>
    <t>Sender's customer-level total transaction count across ALL accounts they own, rolling 30-day window.</t>
  </si>
  <si>
    <t>sender_cust_inflow_amt_30d</t>
  </si>
  <si>
    <t>Sender's customer-level total inflow amount (₹) across ALL accounts they own, rolling 30-day window.</t>
  </si>
  <si>
    <t>sender_cust_outflow_amt_30d</t>
  </si>
  <si>
    <t>Sender's customer-level total outflow amount (₹) across ALL accounts they own, rolling 30-day window.</t>
  </si>
  <si>
    <t>sender_cust_inflow_count_30d</t>
  </si>
  <si>
    <t>Sender's customer-level number of credit events across ALL accounts they own, rolling 30-day window.</t>
  </si>
  <si>
    <t>sender_cust_outflow_count_30d</t>
  </si>
  <si>
    <t>Sender's customer-level number of debit events across ALL accounts they own, rolling 30-day window.</t>
  </si>
  <si>
    <t>sender_balance_before_txn</t>
  </si>
  <si>
    <t>Balance</t>
  </si>
  <si>
    <t>Sender account balance immediately before this transaction (₹).</t>
  </si>
  <si>
    <t>compute_running_balance(): chronological scan per account; balance_before = current_bal before applying signed amount. Seeded at get_seed().</t>
  </si>
  <si>
    <t>Seed = max(avg_balance, max_outflow×10, GLOBAL_MIN_SEED); GLOBAL_MIN_SEED = p95(amount)×10</t>
  </si>
  <si>
    <t>sender_running_balance_txn_amount</t>
  </si>
  <si>
    <t>Signed amount of this transaction from sender's perspective (₹).</t>
  </si>
  <si>
    <t>+amount for credit, -amount for debit. Pure arithmetic, no capping.</t>
  </si>
  <si>
    <t>Negative = outflow</t>
  </si>
  <si>
    <t>sender_balance_after_txn</t>
  </si>
  <si>
    <t>Sender account balance immediately after this transaction (₹).</t>
  </si>
  <si>
    <t>balance_before_txn + running_balance_txn_amount. No floor/clip applied.</t>
  </si>
  <si>
    <t>Can be negative</t>
  </si>
  <si>
    <t>sender_cumulative_daily_balance_change</t>
  </si>
  <si>
    <t>Net balance change for sender account since start of transaction day (₹).</t>
  </si>
  <si>
    <t>Resets at first transaction of each calendar day per account: cum = balance_after - day_start_balance.</t>
  </si>
  <si>
    <t>Resets daily</t>
  </si>
  <si>
    <t>sender_current_balance</t>
  </si>
  <si>
    <t>Sender's latest known balance (last balance_after_txn in window).</t>
  </si>
  <si>
    <t>Mapped from latest balance_after_txn per account after sorting by timestamp.</t>
  </si>
  <si>
    <t>sender_bal_ratio_after_to_current</t>
  </si>
  <si>
    <t>Ratio of balance_after_txn to current_balance.</t>
  </si>
  <si>
    <t>balance_after_txn / current_balance; NaN where current_balance==0.</t>
  </si>
  <si>
    <t>Guard: NaN on zero division</t>
  </si>
  <si>
    <t>&gt;1 may signal balance spiked above latest known level</t>
  </si>
  <si>
    <t>receiver_balance_before_txn</t>
  </si>
  <si>
    <t>Receiver account balance before this transaction (₹).</t>
  </si>
  <si>
    <t>Same logic as sender balance; applied to credit side of acct_events.</t>
  </si>
  <si>
    <t>Same seed logic as sender</t>
  </si>
  <si>
    <t>NaN for external beneficiary transfers</t>
  </si>
  <si>
    <t>receiver_running_balance_txn_amount</t>
  </si>
  <si>
    <t>Signed amount from receiver's perspective (always positive for credits).</t>
  </si>
  <si>
    <t>credit → +amount.</t>
  </si>
  <si>
    <t>receiver_balance_after_txn</t>
  </si>
  <si>
    <t>Receiver account balance after this transaction (₹).</t>
  </si>
  <si>
    <t>balance_before_txn + amount.</t>
  </si>
  <si>
    <t>receiver_cumulative_daily_balance_change</t>
  </si>
  <si>
    <t>Net balance change for receiver account since start of day (₹).</t>
  </si>
  <si>
    <t>Same daily-reset logic as sender.</t>
  </si>
  <si>
    <t>receiver_current_balance</t>
  </si>
  <si>
    <t>Receiver's latest known balance.</t>
  </si>
  <si>
    <t>Mapped from latest balance_after_txn for receiver account.</t>
  </si>
  <si>
    <t>receiver_bal_ratio_after_to_current</t>
  </si>
  <si>
    <t>Ratio of receiver balance_after to current_balance.</t>
  </si>
  <si>
    <t>balance_after_txn / current_balance.</t>
  </si>
  <si>
    <t>Flow / Graph</t>
  </si>
  <si>
    <t>Flow chain identifier (already in raw).</t>
  </si>
  <si>
    <t>See Raw section.</t>
  </si>
  <si>
    <t>Duplicate listed for clarity</t>
  </si>
  <si>
    <t>Chain length of the flow (already in raw).</t>
  </si>
  <si>
    <t>Hop position within flow (already in raw).</t>
  </si>
  <si>
    <t>Timestamp of hop_number==1 for this flow.</t>
  </si>
  <si>
    <t>Derived in Cell 6 of 02b: per-flow origin ts from hop_number==1; missing values backfilled.</t>
  </si>
  <si>
    <t>rule_large_cash_deposit</t>
  </si>
  <si>
    <t>AML Rule Flags</t>
  </si>
  <si>
    <t>Cash transaction exceeding ₹50,000.</t>
  </si>
  <si>
    <t>cash_flag==1 AND amount&gt;50,000</t>
  </si>
  <si>
    <t>Threshold: ₹50,000</t>
  </si>
  <si>
    <t>Severity 3</t>
  </si>
  <si>
    <t>rule_cash_just_below_threshold</t>
  </si>
  <si>
    <t>Cash between ₹8,000–₹9,999 (structuring proxy).</t>
  </si>
  <si>
    <t>cash_flag==1 AND 8,000 ≤ amount ≤ 9,999</t>
  </si>
  <si>
    <t>Range: ₹8,000–₹9,999</t>
  </si>
  <si>
    <t>rule_high_value_transfer</t>
  </si>
  <si>
    <t>Transfer exceeding ₹100,000.</t>
  </si>
  <si>
    <t>amount &gt; 100,000</t>
  </si>
  <si>
    <t>Threshold: ₹100,000</t>
  </si>
  <si>
    <t>Severity 2</t>
  </si>
  <si>
    <t>rule_micro_transaction</t>
  </si>
  <si>
    <t>Amount below ₹10 (possible test/probe).</t>
  </si>
  <si>
    <t>amount &lt; 10</t>
  </si>
  <si>
    <t>Threshold: ₹10</t>
  </si>
  <si>
    <t>Severity 1</t>
  </si>
  <si>
    <t>rule_round_amount_large</t>
  </si>
  <si>
    <t>Round amount ≥ ₹10,000.</t>
  </si>
  <si>
    <t>is_round_amount==1 AND amount ≥ 10,000</t>
  </si>
  <si>
    <t>Threshold: ₹10,000</t>
  </si>
  <si>
    <t>rule_night_transaction</t>
  </si>
  <si>
    <t>Transaction between 22:00–05:59.</t>
  </si>
  <si>
    <t>is_night==1</t>
  </si>
  <si>
    <t>Night: 22:00–05:59</t>
  </si>
  <si>
    <t>rule_weekend_high_value</t>
  </si>
  <si>
    <t>Weekend transaction &gt;₹20,000.</t>
  </si>
  <si>
    <t>is_weekend==1 AND amount &gt; 20,000</t>
  </si>
  <si>
    <t>Threshold: ₹20,000</t>
  </si>
  <si>
    <t>rule_dormant_account_activation</t>
  </si>
  <si>
    <t>Dormant account reactivation with amount &gt;₹5,000.</t>
  </si>
  <si>
    <t>dormancy_flag==1 AND amount &gt; 5,000</t>
  </si>
  <si>
    <t>Threshold: ₹5,000</t>
  </si>
  <si>
    <t>rule_high_acct_velocity_1hr</t>
  </si>
  <si>
    <t>Sender account &gt;5 transactions in last 1 hour.</t>
  </si>
  <si>
    <t>txn_count_last_1hr &gt; 5</t>
  </si>
  <si>
    <t>Threshold: 5 txns/hr</t>
  </si>
  <si>
    <t>rule_high_acct_velocity_24hr</t>
  </si>
  <si>
    <t>Sender account &gt;20 transactions in last 24 hours.</t>
  </si>
  <si>
    <t>txn_count_last_24hr &gt; 20</t>
  </si>
  <si>
    <t>Threshold: 20 txns/24hr</t>
  </si>
  <si>
    <t>rule_high_acct_velocity_7d</t>
  </si>
  <si>
    <t>Sender account &gt;60 transactions in last 7 days.</t>
  </si>
  <si>
    <t>txn_count_last_7d &gt; 60</t>
  </si>
  <si>
    <t>Threshold: 60 txns/7d</t>
  </si>
  <si>
    <t>rule_high_acct_volume_24hr</t>
  </si>
  <si>
    <t>Sender account total volume &gt;₹500,000 in last 24 hours.</t>
  </si>
  <si>
    <t>total_amount_last_24hr &gt; 500,000</t>
  </si>
  <si>
    <t>Threshold: ₹500,000</t>
  </si>
  <si>
    <t>rule_high_acct_volume_7d</t>
  </si>
  <si>
    <t>Sender account total volume &gt;₹2,000,000 in last 7 days.</t>
  </si>
  <si>
    <t>total_amount_last_7d &gt; 2,000,000</t>
  </si>
  <si>
    <t>Threshold: ₹2,000,000</t>
  </si>
  <si>
    <t>rule_amount_spike_30d</t>
  </si>
  <si>
    <t>Amount z-score &gt;4 relative to 30-day history.</t>
  </si>
  <si>
    <t>amount_zscore_30d &gt; 4</t>
  </si>
  <si>
    <t>Z-score threshold: 4σ</t>
  </si>
  <si>
    <t>rule_rapid_burst</t>
  </si>
  <si>
    <t>Sender account &gt;3 transactions in last 1 hour.</t>
  </si>
  <si>
    <t>txn_count_last_1hr &gt; 3</t>
  </si>
  <si>
    <t>Threshold: 3 txns/hr</t>
  </si>
  <si>
    <t>rule_high_cust_velocity_1hr</t>
  </si>
  <si>
    <t>Customer &gt;8 transactions across all accounts in last 1 hour.</t>
  </si>
  <si>
    <t>cust_txn_count_last_1hr &gt; 8</t>
  </si>
  <si>
    <t>Threshold: 8</t>
  </si>
  <si>
    <t>rule_high_cust_velocity_24hr</t>
  </si>
  <si>
    <t>Customer &gt;30 transactions in last 24 hours.</t>
  </si>
  <si>
    <t>cust_txn_count_last_24hr &gt; 30</t>
  </si>
  <si>
    <t>Threshold: 30</t>
  </si>
  <si>
    <t>rule_high_cust_volume_24hr</t>
  </si>
  <si>
    <t>Customer total volume &gt;₹1,000,000 in last 24 hours.</t>
  </si>
  <si>
    <t>cust_total_amount_last_24hr &gt; 1,000,000</t>
  </si>
  <si>
    <t>Threshold: ₹1,000,000</t>
  </si>
  <si>
    <t>rule_high_cust_volume_30d</t>
  </si>
  <si>
    <t>Customer total volume &gt;₹3,000,000 in last 30 days.</t>
  </si>
  <si>
    <t>cust_total_amount_last_30d &gt; 3,000,000</t>
  </si>
  <si>
    <t>Threshold: ₹3,000,000</t>
  </si>
  <si>
    <t>rule_low_kyc_high_amount</t>
  </si>
  <si>
    <t>Low KYC account transacting &gt;₹30,000.</t>
  </si>
  <si>
    <t>kyc_level=='low' AND amount &gt; 30,000</t>
  </si>
  <si>
    <t>Threshold: ₹30,000</t>
  </si>
  <si>
    <t>rule_new_account_large_txn</t>
  </si>
  <si>
    <t>Account &lt;60 days old transacting &gt;₹10,000.</t>
  </si>
  <si>
    <t>account_open_days &lt; 60 AND amount &gt; 10,000</t>
  </si>
  <si>
    <t>Age threshold: 60 days; amount: ₹10,000</t>
  </si>
  <si>
    <t>rule_high_amount_to_balance</t>
  </si>
  <si>
    <t>Transaction amount &gt;3× account balance.</t>
  </si>
  <si>
    <t>amount_to_balance_ratio &gt; 3</t>
  </si>
  <si>
    <t>Ratio threshold: 3×</t>
  </si>
  <si>
    <t>rule_very_high_risk_customer</t>
  </si>
  <si>
    <t>Customer risk rating is very_high.</t>
  </si>
  <si>
    <t>customer_risk_rating == 'very_high'</t>
  </si>
  <si>
    <t>rule_pep_high_value</t>
  </si>
  <si>
    <t>PEP customer transacting &gt;₹10,000.</t>
  </si>
  <si>
    <t>pep_flag==1 AND amount &gt; 10,000</t>
  </si>
  <si>
    <t>rule_high_risk_country_sender</t>
  </si>
  <si>
    <t>Sender from high-risk country.</t>
  </si>
  <si>
    <t>country_risk == 'high'</t>
  </si>
  <si>
    <t>rule_corporate_large_cash</t>
  </si>
  <si>
    <t>Corporate/business account cash &gt;₹20,000.</t>
  </si>
  <si>
    <t>account_type in {corporate, business} AND cash_flag==1 AND amount &gt; 20,000</t>
  </si>
  <si>
    <t>rule_high_risk_beneficiary</t>
  </si>
  <si>
    <t>Beneficiary flagged as high-risk.</t>
  </si>
  <si>
    <t>high_risk_beneficiary == 1</t>
  </si>
  <si>
    <t>rule_crypto_transfer</t>
  </si>
  <si>
    <t>Transfer to a crypto wallet beneficiary.</t>
  </si>
  <si>
    <t>beneficiary_type == 'crypto'</t>
  </si>
  <si>
    <t>rule_offshore_transfer</t>
  </si>
  <si>
    <t>Transfer to an offshore beneficiary.</t>
  </si>
  <si>
    <t>beneficiary_type == 'offshore'</t>
  </si>
  <si>
    <t>rule_high_risk_bene_country</t>
  </si>
  <si>
    <t>Beneficiary in high-risk country.</t>
  </si>
  <si>
    <t>beneficiary_country_risk == 'high'</t>
  </si>
  <si>
    <t>rule_rooted_device</t>
  </si>
  <si>
    <t>Transaction from a rooted device.</t>
  </si>
  <si>
    <t>rooted_flag == 1</t>
  </si>
  <si>
    <t>rule_vpn_proxy_detected</t>
  </si>
  <si>
    <t>VPN or proxy detected.</t>
  </si>
  <si>
    <t>vpn_flag == 1</t>
  </si>
  <si>
    <t>rule_emulator_detected</t>
  </si>
  <si>
    <t>Transaction from an emulator.</t>
  </si>
  <si>
    <t>emulator_flag == 1</t>
  </si>
  <si>
    <t>rule_new_device_large_txn</t>
  </si>
  <si>
    <t>Device &lt;90 days old with transaction &gt;₹10,000.</t>
  </si>
  <si>
    <t>device_age_days &lt; 90 AND amount &gt; 10,000</t>
  </si>
  <si>
    <t>Device age: 90 days; amount: ₹10,000</t>
  </si>
  <si>
    <t>rule_atm_high_withdrawal</t>
  </si>
  <si>
    <t>ATM withdrawal &gt;₹20,000.</t>
  </si>
  <si>
    <t>channel=='atm' AND amount &gt; 20,000</t>
  </si>
  <si>
    <t>rule_branch_night_txn</t>
  </si>
  <si>
    <t>Branch transaction during night hours.</t>
  </si>
  <si>
    <t>channel=='branch' AND is_night==1</t>
  </si>
  <si>
    <t>rule_structuring_pattern</t>
  </si>
  <si>
    <t>Cash structuring: cash ₹8,500–₹9,999.</t>
  </si>
  <si>
    <t>cash_flag==1 AND 8,500 ≤ amount ≤ 9,999</t>
  </si>
  <si>
    <t>Range: ₹8,500–₹9,999</t>
  </si>
  <si>
    <t>rule_multiple_small_cash</t>
  </si>
  <si>
    <t>Multiple small cash transactions in 7 days.</t>
  </si>
  <si>
    <t>cash_flag==1 AND txn_count_last_7d &gt; 5 AND amount &lt; 10,000</t>
  </si>
  <si>
    <t>Count threshold: &gt;5; amount: &lt;₹10,000</t>
  </si>
  <si>
    <t>rule_high_risk_industry</t>
  </si>
  <si>
    <t>Customer in high-risk industry.</t>
  </si>
  <si>
    <t>industry in {real_estate, construction, unknown}</t>
  </si>
  <si>
    <t>rule_student_high_value</t>
  </si>
  <si>
    <t>Student customer transacting &gt;₹50,000.</t>
  </si>
  <si>
    <t>occupation=='student' AND amount &gt; 50,000</t>
  </si>
  <si>
    <t>rule_unemployed_large_transfer</t>
  </si>
  <si>
    <t>Unemployed customer transacting &gt;₹20,000.</t>
  </si>
  <si>
    <t>occupation=='unemployed' AND amount &gt; 20,000</t>
  </si>
  <si>
    <t>rule_freelancer_offshore</t>
  </si>
  <si>
    <t>Freelancer sending to offshore beneficiary.</t>
  </si>
  <si>
    <t>occupation=='freelancer' AND beneficiary_type=='offshore'</t>
  </si>
  <si>
    <t>rule_pep_crypto_transfer</t>
  </si>
  <si>
    <t>PEP customer with crypto transfer.</t>
  </si>
  <si>
    <t>pep_flag==1 AND beneficiary_type=='crypto'</t>
  </si>
  <si>
    <t>rule_very_high_risk_offshore</t>
  </si>
  <si>
    <t>Very-high-risk customer sending offshore.</t>
  </si>
  <si>
    <t>customer_risk_rating=='very_high' AND beneficiary_type=='offshore'</t>
  </si>
  <si>
    <t>rule_low_kyc_offshore</t>
  </si>
  <si>
    <t>Low KYC account sending to offshore.</t>
  </si>
  <si>
    <t>kyc_level=='low' AND beneficiary_type=='offshore'</t>
  </si>
  <si>
    <t>rule_low_income_large_txn</t>
  </si>
  <si>
    <t>Low income bracket transacting &gt;₹50,000.</t>
  </si>
  <si>
    <t>income_bracket=='low' AND amount &gt; 50,000</t>
  </si>
  <si>
    <t>rule_vpn_offshore</t>
  </si>
  <si>
    <t>VPN detected on offshore transfer.</t>
  </si>
  <si>
    <t>vpn_flag==1 AND beneficiary_type=='offshore'</t>
  </si>
  <si>
    <t>rule_emulator_crypto</t>
  </si>
  <si>
    <t>Emulator used for crypto transfer.</t>
  </si>
  <si>
    <t>emulator_flag==1 AND beneficiary_type=='crypto'</t>
  </si>
  <si>
    <t>rule_new_account_offshore</t>
  </si>
  <si>
    <t>Account &lt;90 days old sending offshore.</t>
  </si>
  <si>
    <t>account_open_days &lt; 90 AND beneficiary_type=='offshore'</t>
  </si>
  <si>
    <t>Age: 90 days</t>
  </si>
  <si>
    <t>rule_new_acct_high_cust_velocity</t>
  </si>
  <si>
    <t>New account (&lt;90 days) with high customer velocity.</t>
  </si>
  <si>
    <t>account_open_days &lt; 90 AND cust_txn_count_last_24hr &gt; 10</t>
  </si>
  <si>
    <t>Age: 90 days; velocity: &gt;10 txns/24hr</t>
  </si>
  <si>
    <t>rule_trigger_count</t>
  </si>
  <si>
    <t>Total number of AML rules triggered by this transaction.</t>
  </si>
  <si>
    <t>result[rule_cols].sum(axis=1)</t>
  </si>
  <si>
    <t>50 rules total</t>
  </si>
  <si>
    <t>int [0,50]</t>
  </si>
  <si>
    <t>max_rule_severity</t>
  </si>
  <si>
    <t>Maximum severity among all triggered rules.</t>
  </si>
  <si>
    <t>result[rule_cols].mul(pd.Series(severity_map)).max(axis=1)</t>
  </si>
  <si>
    <t>Severity ∈ {1,2,3}</t>
  </si>
  <si>
    <t>int [0,3]</t>
  </si>
  <si>
    <t>weighted_rule_score</t>
  </si>
  <si>
    <t>Sum of severities of all triggered rules.</t>
  </si>
  <si>
    <t>result[rule_cols].mul(pd.Series(severity_map)).sum(axis=1)</t>
  </si>
  <si>
    <t>Severity weights: 1=low, 2=medium, 3=high</t>
  </si>
  <si>
    <t>fraud_intensity_score</t>
  </si>
  <si>
    <t>Fraud Intensity Score</t>
  </si>
  <si>
    <t>Composite fraud risk score [0,100].</t>
  </si>
  <si>
    <t>FIS = clip(rule_trigger_count × FIS_RULE_MULT, FIS_RULE_CAP) + label × FIS_LABEL_BONUS + clip(amount_to_balance_ratio, 0–10)/10 × FIS_RATIO_SCALE. Final clip to [0,100].</t>
  </si>
  <si>
    <t>FIS_RULE_MULT=2.5; FIS_RULE_CAP=60; FIS_LABEL_BONUS=25; FIS_RATIO_SCALE=15; FIS_SCALE=100</t>
  </si>
  <si>
    <t>float [0,100]</t>
  </si>
  <si>
    <t>V6 formula</t>
  </si>
  <si>
    <t>Feature Count by Category</t>
  </si>
  <si>
    <t>Feature Count</t>
  </si>
  <si>
    <t>Original columns from generation/join pipeline; passed through unchanged.</t>
  </si>
  <si>
    <t>Date/time decomposition and binary flag features derived from timestamp.</t>
  </si>
  <si>
    <t>Rolling counts and amounts for sender and receiver accounts across 4 time windows.</t>
  </si>
  <si>
    <t>Cross-account rolling counts and amounts for the sender's customer across 4 windows.</t>
  </si>
  <si>
    <t>Running balance before/after transaction, daily change, balance ratio. Seeded from avg_balance.</t>
  </si>
  <si>
    <t>Multi-hop synthetic flow chain metadata: flow ID, depth, hop number, time since origin.</t>
  </si>
  <si>
    <t>Customer due-diligence attributes, shared identity signals, beneficiary risk.</t>
  </si>
  <si>
    <t>IP address, composite risk score, geolocation, device attributes.</t>
  </si>
  <si>
    <t>50 binary rule flags (0/1) + severity-weighted aggregates.</t>
  </si>
  <si>
    <t>Single [0,100] composite score combining rule triggers, label bonus, and amount/balance ratio.</t>
  </si>
  <si>
    <t>Days of account silence before reactivation; designed to detect dormant-reactivation typologies.</t>
  </si>
  <si>
    <t>TOTAL</t>
  </si>
  <si>
    <t>Key Configuration Parameters</t>
  </si>
  <si>
    <t>Parameter</t>
  </si>
  <si>
    <t>Value</t>
  </si>
  <si>
    <t>START_DATE</t>
  </si>
  <si>
    <t>2025-09-01</t>
  </si>
  <si>
    <t>Simulation start date</t>
  </si>
  <si>
    <t>END_DATE</t>
  </si>
  <si>
    <t>2025-12-31</t>
  </si>
  <si>
    <t>Simulation end date</t>
  </si>
  <si>
    <t>DATE_RANGE_DAYS</t>
  </si>
  <si>
    <t>121</t>
  </si>
  <si>
    <t>Total simulation duration in days</t>
  </si>
  <si>
    <t>TARGET_FRAUD_RATE</t>
  </si>
  <si>
    <t>0.04 (4%)</t>
  </si>
  <si>
    <t>Target fraud prevalence; oversampling applied to reach this</t>
  </si>
  <si>
    <t>RANDOM_SEED</t>
  </si>
  <si>
    <t>42</t>
  </si>
  <si>
    <t>Global random seed for reproducibility</t>
  </si>
  <si>
    <t>DORMANT_ACCOUNT_FRAC</t>
  </si>
  <si>
    <t>0.05 (5%)</t>
  </si>
  <si>
    <t>Fraction of accounts designated as dormant</t>
  </si>
  <si>
    <t>INACTIVE_ACCOUNT_FRAC</t>
  </si>
  <si>
    <t>Fraction of accounts designated as inactive</t>
  </si>
  <si>
    <t>INACTIVE_GAP_DAYS</t>
  </si>
  <si>
    <t>45</t>
  </si>
  <si>
    <t>Minimum silence days before reactivation counts as inactive</t>
  </si>
  <si>
    <t>INACTIVE_EARLY_END</t>
  </si>
  <si>
    <t>max(20, DATE_RANGE_DAYS×0.15)</t>
  </si>
  <si>
    <t>Day index at which pre-silence early cluster ends</t>
  </si>
  <si>
    <t>INACTIVE_REACT_START</t>
  </si>
  <si>
    <t>INACTIVE_EARLY_END + 45</t>
  </si>
  <si>
    <t>Day index from which reactivation begins</t>
  </si>
  <si>
    <t>inactive_ATO frac</t>
  </si>
  <si>
    <t>0.35 (35%)</t>
  </si>
  <si>
    <t>Share of inactive accounts assigned to ATO fraud pattern</t>
  </si>
  <si>
    <t>inactive_smurfing frac</t>
  </si>
  <si>
    <t>0.20 (20%)</t>
  </si>
  <si>
    <t>Share of inactive accounts assigned to smurfing pattern</t>
  </si>
  <si>
    <t>inactive_to_offshore frac</t>
  </si>
  <si>
    <t>Share of inactive accounts assigned to offshore transfer pattern</t>
  </si>
  <si>
    <t>inactive_legit frac</t>
  </si>
  <si>
    <t>0.25 (25%)</t>
  </si>
  <si>
    <t>Share of inactive accounts with clean (legit) reactivation</t>
  </si>
  <si>
    <t>CHANNEL_PROBS</t>
  </si>
  <si>
    <t>[0.50, 0.30, 0.10, 0.10]</t>
  </si>
  <si>
    <t>Mobile / web / branch / ATM channel probabilities</t>
  </si>
  <si>
    <t>KYC low: lognormal</t>
  </si>
  <si>
    <t>μ=7, σ=1</t>
  </si>
  <si>
    <t>Amount distribution for low-KYC accounts</t>
  </si>
  <si>
    <t>KYC medium: lognormal</t>
  </si>
  <si>
    <t>μ=8, σ=1</t>
  </si>
  <si>
    <t>Amount distribution for medium-KYC accounts</t>
  </si>
  <si>
    <t>KYC high: lognormal</t>
  </si>
  <si>
    <t>μ=9.5, σ=1</t>
  </si>
  <si>
    <t>Amount distribution for high-KYC accounts</t>
  </si>
  <si>
    <t>INTERNAL_TRANSFER_PROB</t>
  </si>
  <si>
    <t>0.40</t>
  </si>
  <si>
    <t>Probability of transaction being internal (receiver_account_id set)</t>
  </si>
  <si>
    <t>smurfing amount_min</t>
  </si>
  <si>
    <t>₹8,500</t>
  </si>
  <si>
    <t>Minimum amount for smurfing/structuring transactions</t>
  </si>
  <si>
    <t>smurfing amount_max</t>
  </si>
  <si>
    <t>₹9,999</t>
  </si>
  <si>
    <t>Maximum amount for smurfing/structuring transactions (below ₹10k threshold)</t>
  </si>
  <si>
    <t>IP_HOME_FRAC</t>
  </si>
  <si>
    <t>0.70</t>
  </si>
  <si>
    <t>Probability of home IP being assigned</t>
  </si>
  <si>
    <t>IP_ROAM_FRAC</t>
  </si>
  <si>
    <t>0.20</t>
  </si>
  <si>
    <t>Probability of roaming IP being assigned</t>
  </si>
  <si>
    <t>IP_HOME_BASE_SCORE</t>
  </si>
  <si>
    <t>0.05</t>
  </si>
  <si>
    <t>Base ip_risk_score for home IPs</t>
  </si>
  <si>
    <t>IP_ROAM_BASE_SCORE</t>
  </si>
  <si>
    <t>0.30</t>
  </si>
  <si>
    <t>Base ip_risk_score for roaming IPs</t>
  </si>
  <si>
    <t>IP_RISK_BASE_SCORE</t>
  </si>
  <si>
    <t>0.80</t>
  </si>
  <si>
    <t>Base ip_risk_score for risk/TOR IPs</t>
  </si>
  <si>
    <t>HIGH_RISK_IP_PREFIXES</t>
  </si>
  <si>
    <t>10 prefixes</t>
  </si>
  <si>
    <t>IP prefix list used for risk IPs (185.220, 45.142, etc.)</t>
  </si>
  <si>
    <t>Velocity window 1</t>
  </si>
  <si>
    <t>1 hour</t>
  </si>
  <si>
    <t>Shortest rolling window for velocity features</t>
  </si>
  <si>
    <t>Velocity window 2</t>
  </si>
  <si>
    <t>24 hours</t>
  </si>
  <si>
    <t>Second rolling window for velocity features</t>
  </si>
  <si>
    <t>Velocity window 3</t>
  </si>
  <si>
    <t>7 days</t>
  </si>
  <si>
    <t>Third rolling window for velocity features</t>
  </si>
  <si>
    <t>Velocity window 4</t>
  </si>
  <si>
    <t>30 days</t>
  </si>
  <si>
    <t>Longest rolling window for velocity features</t>
  </si>
  <si>
    <t>GLOBAL_MIN_SEED</t>
  </si>
  <si>
    <t>p95(amount) × 10</t>
  </si>
  <si>
    <t>Minimum seed balance for any account (prevents immediate negatives)</t>
  </si>
  <si>
    <t>Balance seed formula</t>
  </si>
  <si>
    <t>max(avg_balance, max_outflow×10, GLOBAL_MIN_SEED)</t>
  </si>
  <si>
    <t>Per-account starting balance formula</t>
  </si>
  <si>
    <t>FIS_RULE_MULT</t>
  </si>
  <si>
    <t>2.5</t>
  </si>
  <si>
    <t>Multiplier applied to rule_trigger_count in FIS formula</t>
  </si>
  <si>
    <t>FIS_RULE_CAP</t>
  </si>
  <si>
    <t>60</t>
  </si>
  <si>
    <t>Maximum contribution of rule component to FIS</t>
  </si>
  <si>
    <t>FIS_LABEL_BONUS</t>
  </si>
  <si>
    <t>25</t>
  </si>
  <si>
    <t>FIS bonus added for label=1 (confirmed fraud)</t>
  </si>
  <si>
    <t>FIS_RATIO_SCALE</t>
  </si>
  <si>
    <t>15</t>
  </si>
  <si>
    <t>FIS weight for amount-to-balance-ratio component</t>
  </si>
  <si>
    <t>FIS_SCALE (max)</t>
  </si>
  <si>
    <t>100</t>
  </si>
  <si>
    <t>Final ceiling for fraud_intensity_score</t>
  </si>
  <si>
    <t>Total AML Rules</t>
  </si>
  <si>
    <t>50</t>
  </si>
  <si>
    <t>Number of rules in the rule engine</t>
  </si>
  <si>
    <t>Rule Severity 1 (low)</t>
  </si>
  <si>
    <t>1</t>
  </si>
  <si>
    <t>Low-signal rules (micro-transaction, round amount, device age, high-risk industry)</t>
  </si>
  <si>
    <t>Rule Severity 2 (med)</t>
  </si>
  <si>
    <t>2</t>
  </si>
  <si>
    <t>Medium-signal rules (night txn, high velocity, offshore, VPN, etc.)</t>
  </si>
  <si>
    <t>Rule Severity 3 (high)</t>
  </si>
  <si>
    <t>3</t>
  </si>
  <si>
    <t>High-signal rules (structuring, large cash, emulator, PEP+crypto, etc.)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</si>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</sst>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9"/>
      <color rgb="FF154360"/>
      <name val="Arial"/>
    </font>
    <font>
      <sz val="9"/>
      <color rgb="FF154360"/>
      <name val="Arial"/>
    </font>
    <font>
      <b/>
      <sz val="9"/>
      <color rgb="FF2E4057"/>
      <name val="Arial"/>
    </font>
    <font>
      <sz val="9"/>
      <color rgb="FF2E4057"/>
      <name val="Arial"/>
    </font>
    <font>
      <b/>
      <sz val="9"/>
      <color rgb="FFA04000"/>
      <name val="Arial"/>
    </font>
    <font>
      <sz val="9"/>
      <color rgb="FFA04000"/>
      <name val="Arial"/>
    </font>
    <font>
      <b/>
      <sz val="9"/>
      <color rgb="FF6C3483"/>
      <name val="Arial"/>
    </font>
    <font>
      <sz val="9"/>
      <color rgb="FF6C3483"/>
      <name val="Arial"/>
    </font>
    <font>
      <b/>
      <sz val="9"/>
      <color rgb="FF1E8449"/>
      <name val="Arial"/>
    </font>
    <font>
      <sz val="9"/>
      <color rgb="FF1E8449"/>
      <name val="Arial"/>
    </font>
    <font>
      <b/>
      <sz val="9"/>
      <color rgb="FFD4AC0D"/>
      <name val="Arial"/>
    </font>
    <font>
      <sz val="9"/>
      <color rgb="FFD4AC0D"/>
      <name val="Arial"/>
    </font>
    <font>
      <b/>
      <sz val="9"/>
      <color rgb="FF922B21"/>
      <name val="Arial"/>
    </font>
    <font>
      <sz val="9"/>
      <color rgb="FF922B21"/>
      <name val="Arial"/>
    </font>
    <font>
      <b/>
      <sz val="9"/>
      <color rgb="FF1F6B75"/>
      <name val="Arial"/>
    </font>
    <font>
      <sz val="9"/>
      <color rgb="FF1F6B75"/>
      <name val="Arial"/>
    </font>
    <font>
      <b/>
      <sz val="9"/>
      <color rgb="FF7B241C"/>
      <name val="Arial"/>
    </font>
    <font>
      <sz val="9"/>
      <color rgb="FF7B241C"/>
      <name val="Arial"/>
    </font>
    <font>
      <b/>
      <sz val="9"/>
      <color rgb="FF1A5276"/>
      <name val="Arial"/>
    </font>
    <font>
      <sz val="9"/>
      <color rgb="FF1A5276"/>
      <name val="Arial"/>
    </font>
    <font>
      <b/>
      <sz val="14"/>
      <color rgb="FFFFFFFF"/>
      <name val="Arial"/>
    </font>
    <font>
      <b/>
      <sz val="10"/>
      <color rgb="FF154360"/>
      <name val="Arial"/>
    </font>
    <font>
      <sz val="10"/>
      <color rgb="FF154360"/>
      <name val="Arial"/>
    </font>
    <font>
      <b/>
      <sz val="10"/>
      <color rgb="FF1E8449"/>
      <name val="Arial"/>
    </font>
    <font>
      <sz val="10"/>
      <color rgb="FF1E8449"/>
      <name val="Arial"/>
    </font>
    <font>
      <b/>
      <sz val="10"/>
      <color rgb="FFD4AC0D"/>
      <name val="Arial"/>
    </font>
    <font>
      <sz val="10"/>
      <color rgb="FFD4AC0D"/>
      <name val="Arial"/>
    </font>
    <font>
      <b/>
      <sz val="10"/>
      <color rgb="FF922B21"/>
      <name val="Arial"/>
    </font>
    <font>
      <sz val="10"/>
      <color rgb="FF922B21"/>
      <name val="Arial"/>
    </font>
    <font>
      <b/>
      <sz val="10"/>
      <color rgb="FF6C3483"/>
      <name val="Arial"/>
    </font>
    <font>
      <sz val="10"/>
      <color rgb="FF6C3483"/>
      <name val="Arial"/>
    </font>
    <font>
      <b/>
      <sz val="10"/>
      <color rgb="FF1F6B75"/>
      <name val="Arial"/>
    </font>
    <font>
      <sz val="10"/>
      <color rgb="FF1F6B75"/>
      <name val="Arial"/>
    </font>
    <font>
      <b/>
      <sz val="10"/>
      <color rgb="FF2E4057"/>
      <name val="Arial"/>
    </font>
    <font>
      <sz val="10"/>
      <color rgb="FF2E4057"/>
      <name val="Arial"/>
    </font>
    <font>
      <b/>
      <sz val="10"/>
      <color rgb="FFA04000"/>
      <name val="Arial"/>
    </font>
    <font>
      <sz val="10"/>
      <color rgb="FFA04000"/>
      <name val="Arial"/>
    </font>
    <font>
      <b/>
      <sz val="10"/>
      <color rgb="FF7B241C"/>
      <name val="Arial"/>
    </font>
    <font>
      <sz val="10"/>
      <color rgb="FF7B241C"/>
      <name val="Arial"/>
    </font>
    <font>
      <b/>
      <sz val="10"/>
      <color rgb="FF1A5276"/>
      <name val="Arial"/>
    </font>
    <font>
      <sz val="10"/>
      <color rgb="FF1A5276"/>
      <name val="Arial"/>
    </font>
    <font>
      <b/>
      <sz val="11"/>
      <color rgb="FF1A1A2E"/>
      <name val="Arial"/>
    </font>
    <font>
      <b/>
      <sz val="9"/>
      <color rgb="FF1A1A2E"/>
      <name val="Arial"/>
    </font>
    <font>
      <sz val="9"/>
      <color rgb="FF1A1A2E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EAF4FB"/>
      </patternFill>
    </fill>
    <fill>
      <patternFill patternType="solid">
        <fgColor rgb="FFF0F3F4"/>
      </patternFill>
    </fill>
    <fill>
      <patternFill patternType="solid">
        <fgColor rgb="FFFDF2E9"/>
      </patternFill>
    </fill>
    <fill>
      <patternFill patternType="solid">
        <fgColor rgb="FFF5EEF8"/>
      </patternFill>
    </fill>
    <fill>
      <patternFill patternType="solid">
        <fgColor rgb="FFE9F7EF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EAFAF1"/>
      </patternFill>
    </fill>
    <fill>
      <patternFill patternType="solid">
        <fgColor rgb="FFC9A22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5" fillId="12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39" fillId="6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left" vertical="center" wrapText="1"/>
    </xf>
    <xf numFmtId="0" fontId="43" fillId="14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0" fontId="42" fillId="14" borderId="1" xfId="0" applyFont="1" applyFill="1" applyBorder="1" applyAlignment="1">
      <alignment horizontal="center" vertical="center" wrapText="1"/>
    </xf>
    <xf numFmtId="0" fontId="43" fillId="14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8" fillId="12" borderId="2" xfId="0" applyFont="1" applyFill="1" applyBorder="1" applyAlignment="1">
      <alignment horizontal="left" vertical="center" wrapText="1"/>
    </xf>
    <xf numFmtId="0" fontId="20" fillId="13" borderId="2" xfId="0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3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5" fillId="16" borderId="1" xfId="0" applyFont="1" applyFill="1" applyBorder="1" applyAlignment="1">
      <alignment horizontal="center" vertical="center" wrapText="1"/>
    </xf>
    <xf numFmtId="0" fontId="46" fillId="16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tabSelected="1" workbookViewId="0">
      <selection activeCell="B7" sqref="B7"/>
    </sheetView>
  </sheetViews>
  <sheetFormatPr defaultRowHeight="14.4" x14ac:dyDescent="0.3"/>
  <cols>
    <col min="1" max="1" width="26" style="60" customWidth="1"/>
    <col min="2" max="2" width="16" style="60" customWidth="1"/>
    <col min="3" max="3" width="80" customWidth="1"/>
  </cols>
  <sheetData>
    <row r="1" spans="1:3" ht="28.05" customHeight="1" x14ac:dyDescent="0.3">
      <c r="A1" s="73" t="s">
        <v>604</v>
      </c>
      <c r="B1" s="74"/>
      <c r="C1" s="74"/>
    </row>
    <row r="2" spans="1:3" x14ac:dyDescent="0.3">
      <c r="A2" s="1" t="s">
        <v>2</v>
      </c>
      <c r="B2" s="1" t="s">
        <v>605</v>
      </c>
      <c r="C2" s="1" t="s">
        <v>3</v>
      </c>
    </row>
    <row r="3" spans="1:3" ht="28.05" customHeight="1" x14ac:dyDescent="0.3">
      <c r="A3" s="37" t="s">
        <v>9</v>
      </c>
      <c r="B3" s="38">
        <v>18</v>
      </c>
      <c r="C3" s="2" t="s">
        <v>606</v>
      </c>
    </row>
    <row r="4" spans="1:3" ht="28.05" customHeight="1" x14ac:dyDescent="0.3">
      <c r="A4" s="39" t="s">
        <v>175</v>
      </c>
      <c r="B4" s="40">
        <v>11</v>
      </c>
      <c r="C4" s="3" t="s">
        <v>607</v>
      </c>
    </row>
    <row r="5" spans="1:3" ht="28.05" customHeight="1" x14ac:dyDescent="0.3">
      <c r="A5" s="41" t="s">
        <v>222</v>
      </c>
      <c r="B5" s="42">
        <v>40</v>
      </c>
      <c r="C5" s="4" t="s">
        <v>608</v>
      </c>
    </row>
    <row r="6" spans="1:3" ht="28.05" customHeight="1" x14ac:dyDescent="0.3">
      <c r="A6" s="43" t="s">
        <v>308</v>
      </c>
      <c r="B6" s="44">
        <v>20</v>
      </c>
      <c r="C6" s="5" t="s">
        <v>609</v>
      </c>
    </row>
    <row r="7" spans="1:3" ht="28.05" customHeight="1" x14ac:dyDescent="0.3">
      <c r="A7" s="45" t="s">
        <v>350</v>
      </c>
      <c r="B7" s="46">
        <v>12</v>
      </c>
      <c r="C7" s="6" t="s">
        <v>610</v>
      </c>
    </row>
    <row r="8" spans="1:3" ht="28.05" customHeight="1" x14ac:dyDescent="0.3">
      <c r="A8" s="47" t="s">
        <v>394</v>
      </c>
      <c r="B8" s="48">
        <v>4</v>
      </c>
      <c r="C8" s="7" t="s">
        <v>611</v>
      </c>
    </row>
    <row r="9" spans="1:3" ht="28.05" customHeight="1" x14ac:dyDescent="0.3">
      <c r="A9" s="49" t="s">
        <v>83</v>
      </c>
      <c r="B9" s="50">
        <v>18</v>
      </c>
      <c r="C9" s="8" t="s">
        <v>612</v>
      </c>
    </row>
    <row r="10" spans="1:3" ht="28.05" customHeight="1" x14ac:dyDescent="0.3">
      <c r="A10" s="51" t="s">
        <v>139</v>
      </c>
      <c r="B10" s="52">
        <v>9</v>
      </c>
      <c r="C10" s="9" t="s">
        <v>613</v>
      </c>
    </row>
    <row r="11" spans="1:3" ht="28.05" customHeight="1" x14ac:dyDescent="0.3">
      <c r="A11" s="53" t="s">
        <v>403</v>
      </c>
      <c r="B11" s="54">
        <v>53</v>
      </c>
      <c r="C11" s="10" t="s">
        <v>614</v>
      </c>
    </row>
    <row r="12" spans="1:3" ht="28.05" customHeight="1" x14ac:dyDescent="0.3">
      <c r="A12" s="55" t="s">
        <v>598</v>
      </c>
      <c r="B12" s="56">
        <v>1</v>
      </c>
      <c r="C12" s="11" t="s">
        <v>615</v>
      </c>
    </row>
    <row r="13" spans="1:3" ht="28.05" customHeight="1" x14ac:dyDescent="0.3">
      <c r="A13" s="57" t="s">
        <v>169</v>
      </c>
      <c r="B13" s="58">
        <v>1</v>
      </c>
      <c r="C13" s="12" t="s">
        <v>616</v>
      </c>
    </row>
    <row r="14" spans="1:3" x14ac:dyDescent="0.3">
      <c r="A14" s="59" t="s">
        <v>617</v>
      </c>
      <c r="B14" s="59">
        <f>SUM(B3:B13)</f>
        <v>187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showGridLines="0" workbookViewId="0">
      <pane ySplit="2" topLeftCell="A3" activePane="bottomLeft" state="frozen"/>
      <selection pane="bottomLeft" activeCell="D2" sqref="D2"/>
    </sheetView>
  </sheetViews>
  <sheetFormatPr defaultRowHeight="14.4" x14ac:dyDescent="0.3"/>
  <cols>
    <col min="1" max="3" width="40.77734375" customWidth="1"/>
    <col min="4" max="4" width="77.88671875" style="72" customWidth="1"/>
    <col min="5" max="7" width="40.77734375" customWidth="1"/>
  </cols>
  <sheetData>
    <row r="1" spans="1:7" ht="25.05" customHeight="1" x14ac:dyDescent="0.3">
      <c r="A1" s="75" t="s">
        <v>0</v>
      </c>
      <c r="B1" s="76"/>
      <c r="C1" s="76"/>
      <c r="D1" s="76"/>
      <c r="E1" s="76"/>
      <c r="F1" s="76"/>
      <c r="G1" s="76"/>
    </row>
    <row r="2" spans="1:7" ht="25.05" customHeight="1" x14ac:dyDescent="0.3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</row>
    <row r="3" spans="1:7" s="13" customFormat="1" ht="25.05" customHeight="1" x14ac:dyDescent="0.3">
      <c r="A3" s="14" t="s">
        <v>8</v>
      </c>
      <c r="B3" s="15" t="s">
        <v>9</v>
      </c>
      <c r="C3" s="15" t="s">
        <v>10</v>
      </c>
      <c r="D3" s="61" t="s">
        <v>11</v>
      </c>
      <c r="E3" s="15" t="s">
        <v>12</v>
      </c>
      <c r="F3" s="15" t="s">
        <v>13</v>
      </c>
      <c r="G3" s="15"/>
    </row>
    <row r="4" spans="1:7" ht="25.05" customHeight="1" x14ac:dyDescent="0.3">
      <c r="A4" s="14" t="s">
        <v>14</v>
      </c>
      <c r="B4" s="15" t="s">
        <v>9</v>
      </c>
      <c r="C4" s="15" t="s">
        <v>15</v>
      </c>
      <c r="D4" s="61" t="s">
        <v>16</v>
      </c>
      <c r="E4" s="15" t="s">
        <v>12</v>
      </c>
      <c r="F4" s="15" t="s">
        <v>13</v>
      </c>
      <c r="G4" s="15"/>
    </row>
    <row r="5" spans="1:7" ht="25.05" customHeight="1" x14ac:dyDescent="0.3">
      <c r="A5" s="14" t="s">
        <v>17</v>
      </c>
      <c r="B5" s="15" t="s">
        <v>9</v>
      </c>
      <c r="C5" s="15" t="s">
        <v>18</v>
      </c>
      <c r="D5" s="61" t="s">
        <v>19</v>
      </c>
      <c r="E5" s="15" t="s">
        <v>12</v>
      </c>
      <c r="F5" s="15" t="s">
        <v>13</v>
      </c>
      <c r="G5" s="15"/>
    </row>
    <row r="6" spans="1:7" ht="25.05" customHeight="1" x14ac:dyDescent="0.3">
      <c r="A6" s="14" t="s">
        <v>20</v>
      </c>
      <c r="B6" s="15" t="s">
        <v>9</v>
      </c>
      <c r="C6" s="15" t="s">
        <v>21</v>
      </c>
      <c r="D6" s="61" t="s">
        <v>22</v>
      </c>
      <c r="E6" s="15" t="s">
        <v>12</v>
      </c>
      <c r="F6" s="15" t="s">
        <v>13</v>
      </c>
      <c r="G6" s="15" t="s">
        <v>23</v>
      </c>
    </row>
    <row r="7" spans="1:7" ht="25.05" customHeight="1" x14ac:dyDescent="0.3">
      <c r="A7" s="14" t="s">
        <v>24</v>
      </c>
      <c r="B7" s="15" t="s">
        <v>9</v>
      </c>
      <c r="C7" s="15" t="s">
        <v>25</v>
      </c>
      <c r="D7" s="61" t="s">
        <v>26</v>
      </c>
      <c r="E7" s="15" t="s">
        <v>12</v>
      </c>
      <c r="F7" s="15" t="s">
        <v>13</v>
      </c>
      <c r="G7" s="15" t="s">
        <v>27</v>
      </c>
    </row>
    <row r="8" spans="1:7" ht="25.05" customHeight="1" x14ac:dyDescent="0.3">
      <c r="A8" s="14" t="s">
        <v>28</v>
      </c>
      <c r="B8" s="15" t="s">
        <v>9</v>
      </c>
      <c r="C8" s="15" t="s">
        <v>29</v>
      </c>
      <c r="D8" s="61" t="s">
        <v>30</v>
      </c>
      <c r="E8" s="15" t="s">
        <v>12</v>
      </c>
      <c r="F8" s="15" t="s">
        <v>13</v>
      </c>
      <c r="G8" s="15"/>
    </row>
    <row r="9" spans="1:7" ht="25.05" customHeight="1" x14ac:dyDescent="0.3">
      <c r="A9" s="14" t="s">
        <v>31</v>
      </c>
      <c r="B9" s="15" t="s">
        <v>9</v>
      </c>
      <c r="C9" s="15" t="s">
        <v>32</v>
      </c>
      <c r="D9" s="61" t="s">
        <v>33</v>
      </c>
      <c r="E9" s="15" t="s">
        <v>34</v>
      </c>
      <c r="F9" s="15" t="s">
        <v>35</v>
      </c>
      <c r="G9" s="15"/>
    </row>
    <row r="10" spans="1:7" ht="25.05" customHeight="1" x14ac:dyDescent="0.3">
      <c r="A10" s="14" t="s">
        <v>36</v>
      </c>
      <c r="B10" s="15" t="s">
        <v>9</v>
      </c>
      <c r="C10" s="15" t="s">
        <v>37</v>
      </c>
      <c r="D10" s="61" t="s">
        <v>38</v>
      </c>
      <c r="E10" s="15" t="s">
        <v>39</v>
      </c>
      <c r="F10" s="15" t="s">
        <v>40</v>
      </c>
      <c r="G10" s="15"/>
    </row>
    <row r="11" spans="1:7" ht="25.05" customHeight="1" x14ac:dyDescent="0.3">
      <c r="A11" s="14" t="s">
        <v>41</v>
      </c>
      <c r="B11" s="15" t="s">
        <v>9</v>
      </c>
      <c r="C11" s="15" t="s">
        <v>42</v>
      </c>
      <c r="D11" s="61" t="s">
        <v>43</v>
      </c>
      <c r="E11" s="15" t="s">
        <v>44</v>
      </c>
      <c r="F11" s="15" t="s">
        <v>13</v>
      </c>
      <c r="G11" s="15"/>
    </row>
    <row r="12" spans="1:7" ht="25.05" customHeight="1" x14ac:dyDescent="0.3">
      <c r="A12" s="14" t="s">
        <v>45</v>
      </c>
      <c r="B12" s="15" t="s">
        <v>9</v>
      </c>
      <c r="C12" s="15" t="s">
        <v>46</v>
      </c>
      <c r="D12" s="61" t="s">
        <v>47</v>
      </c>
      <c r="E12" s="15" t="s">
        <v>12</v>
      </c>
      <c r="F12" s="15" t="s">
        <v>13</v>
      </c>
      <c r="G12" s="15"/>
    </row>
    <row r="13" spans="1:7" ht="25.05" customHeight="1" x14ac:dyDescent="0.3">
      <c r="A13" s="14" t="s">
        <v>48</v>
      </c>
      <c r="B13" s="15" t="s">
        <v>9</v>
      </c>
      <c r="C13" s="15" t="s">
        <v>49</v>
      </c>
      <c r="D13" s="61" t="s">
        <v>50</v>
      </c>
      <c r="E13" s="15" t="s">
        <v>51</v>
      </c>
      <c r="F13" s="15" t="s">
        <v>13</v>
      </c>
      <c r="G13" s="15"/>
    </row>
    <row r="14" spans="1:7" ht="25.05" customHeight="1" x14ac:dyDescent="0.3">
      <c r="A14" s="14" t="s">
        <v>52</v>
      </c>
      <c r="B14" s="15" t="s">
        <v>9</v>
      </c>
      <c r="C14" s="15" t="s">
        <v>53</v>
      </c>
      <c r="D14" s="61" t="s">
        <v>54</v>
      </c>
      <c r="E14" s="15" t="s">
        <v>55</v>
      </c>
      <c r="F14" s="15" t="s">
        <v>56</v>
      </c>
      <c r="G14" s="15"/>
    </row>
    <row r="15" spans="1:7" ht="25.05" customHeight="1" x14ac:dyDescent="0.3">
      <c r="A15" s="14" t="s">
        <v>57</v>
      </c>
      <c r="B15" s="15" t="s">
        <v>9</v>
      </c>
      <c r="C15" s="15" t="s">
        <v>58</v>
      </c>
      <c r="D15" s="61" t="s">
        <v>59</v>
      </c>
      <c r="E15" s="15" t="s">
        <v>60</v>
      </c>
      <c r="F15" s="15" t="s">
        <v>13</v>
      </c>
      <c r="G15" s="15" t="s">
        <v>61</v>
      </c>
    </row>
    <row r="16" spans="1:7" ht="25.05" customHeight="1" x14ac:dyDescent="0.3">
      <c r="A16" s="14" t="s">
        <v>62</v>
      </c>
      <c r="B16" s="15" t="s">
        <v>9</v>
      </c>
      <c r="C16" s="15" t="s">
        <v>63</v>
      </c>
      <c r="D16" s="61" t="s">
        <v>64</v>
      </c>
      <c r="E16" s="15" t="s">
        <v>65</v>
      </c>
      <c r="F16" s="15" t="s">
        <v>66</v>
      </c>
      <c r="G16" s="15" t="s">
        <v>61</v>
      </c>
    </row>
    <row r="17" spans="1:7" ht="25.05" customHeight="1" x14ac:dyDescent="0.3">
      <c r="A17" s="14" t="s">
        <v>67</v>
      </c>
      <c r="B17" s="15" t="s">
        <v>9</v>
      </c>
      <c r="C17" s="15" t="s">
        <v>68</v>
      </c>
      <c r="D17" s="61" t="s">
        <v>69</v>
      </c>
      <c r="E17" s="15" t="s">
        <v>12</v>
      </c>
      <c r="F17" s="15" t="s">
        <v>66</v>
      </c>
      <c r="G17" s="15" t="s">
        <v>61</v>
      </c>
    </row>
    <row r="18" spans="1:7" ht="25.05" customHeight="1" x14ac:dyDescent="0.3">
      <c r="A18" s="14" t="s">
        <v>70</v>
      </c>
      <c r="B18" s="15" t="s">
        <v>9</v>
      </c>
      <c r="C18" s="15" t="s">
        <v>71</v>
      </c>
      <c r="D18" s="61" t="s">
        <v>72</v>
      </c>
      <c r="E18" s="15" t="s">
        <v>12</v>
      </c>
      <c r="F18" s="15" t="s">
        <v>35</v>
      </c>
      <c r="G18" s="15" t="s">
        <v>61</v>
      </c>
    </row>
    <row r="19" spans="1:7" ht="50.4" customHeight="1" x14ac:dyDescent="0.3">
      <c r="A19" s="14" t="s">
        <v>73</v>
      </c>
      <c r="B19" s="15" t="s">
        <v>9</v>
      </c>
      <c r="C19" s="15" t="s">
        <v>74</v>
      </c>
      <c r="D19" s="61" t="s">
        <v>75</v>
      </c>
      <c r="E19" s="15" t="s">
        <v>76</v>
      </c>
      <c r="F19" s="15" t="s">
        <v>13</v>
      </c>
      <c r="G19" s="15" t="s">
        <v>77</v>
      </c>
    </row>
    <row r="20" spans="1:7" ht="25.05" customHeight="1" x14ac:dyDescent="0.3">
      <c r="A20" s="14" t="s">
        <v>78</v>
      </c>
      <c r="B20" s="15" t="s">
        <v>9</v>
      </c>
      <c r="C20" s="15" t="s">
        <v>79</v>
      </c>
      <c r="D20" s="61" t="s">
        <v>80</v>
      </c>
      <c r="E20" s="15" t="s">
        <v>81</v>
      </c>
      <c r="F20" s="15" t="s">
        <v>56</v>
      </c>
      <c r="G20" s="15"/>
    </row>
    <row r="21" spans="1:7" ht="25.05" customHeight="1" x14ac:dyDescent="0.3">
      <c r="A21" s="16" t="s">
        <v>82</v>
      </c>
      <c r="B21" s="17" t="s">
        <v>83</v>
      </c>
      <c r="C21" s="17" t="s">
        <v>84</v>
      </c>
      <c r="D21" s="62" t="s">
        <v>85</v>
      </c>
      <c r="E21" s="17" t="s">
        <v>12</v>
      </c>
      <c r="F21" s="17" t="s">
        <v>40</v>
      </c>
      <c r="G21" s="17" t="s">
        <v>86</v>
      </c>
    </row>
    <row r="22" spans="1:7" ht="25.05" customHeight="1" x14ac:dyDescent="0.3">
      <c r="A22" s="16" t="s">
        <v>87</v>
      </c>
      <c r="B22" s="17" t="s">
        <v>83</v>
      </c>
      <c r="C22" s="17" t="s">
        <v>88</v>
      </c>
      <c r="D22" s="62" t="s">
        <v>89</v>
      </c>
      <c r="E22" s="17" t="s">
        <v>90</v>
      </c>
      <c r="F22" s="17" t="s">
        <v>66</v>
      </c>
      <c r="G22" s="17"/>
    </row>
    <row r="23" spans="1:7" ht="25.05" customHeight="1" x14ac:dyDescent="0.3">
      <c r="A23" s="16" t="s">
        <v>91</v>
      </c>
      <c r="B23" s="17" t="s">
        <v>83</v>
      </c>
      <c r="C23" s="17" t="s">
        <v>92</v>
      </c>
      <c r="D23" s="62" t="s">
        <v>93</v>
      </c>
      <c r="E23" s="17" t="s">
        <v>94</v>
      </c>
      <c r="F23" s="17" t="s">
        <v>13</v>
      </c>
      <c r="G23" s="17"/>
    </row>
    <row r="24" spans="1:7" ht="25.05" customHeight="1" x14ac:dyDescent="0.3">
      <c r="A24" s="16" t="s">
        <v>95</v>
      </c>
      <c r="B24" s="17" t="s">
        <v>83</v>
      </c>
      <c r="C24" s="17" t="s">
        <v>96</v>
      </c>
      <c r="D24" s="62" t="s">
        <v>93</v>
      </c>
      <c r="E24" s="17" t="s">
        <v>94</v>
      </c>
      <c r="F24" s="17" t="s">
        <v>13</v>
      </c>
      <c r="G24" s="17"/>
    </row>
    <row r="25" spans="1:7" ht="25.05" customHeight="1" x14ac:dyDescent="0.3">
      <c r="A25" s="16" t="s">
        <v>97</v>
      </c>
      <c r="B25" s="17" t="s">
        <v>83</v>
      </c>
      <c r="C25" s="17" t="s">
        <v>98</v>
      </c>
      <c r="D25" s="62" t="s">
        <v>93</v>
      </c>
      <c r="E25" s="17" t="s">
        <v>94</v>
      </c>
      <c r="F25" s="17" t="s">
        <v>13</v>
      </c>
      <c r="G25" s="17"/>
    </row>
    <row r="26" spans="1:7" ht="25.05" customHeight="1" x14ac:dyDescent="0.3">
      <c r="A26" s="16" t="s">
        <v>99</v>
      </c>
      <c r="B26" s="17" t="s">
        <v>83</v>
      </c>
      <c r="C26" s="17" t="s">
        <v>100</v>
      </c>
      <c r="D26" s="62" t="s">
        <v>93</v>
      </c>
      <c r="E26" s="17" t="s">
        <v>101</v>
      </c>
      <c r="F26" s="17" t="s">
        <v>13</v>
      </c>
      <c r="G26" s="17"/>
    </row>
    <row r="27" spans="1:7" ht="25.05" customHeight="1" x14ac:dyDescent="0.3">
      <c r="A27" s="16" t="s">
        <v>102</v>
      </c>
      <c r="B27" s="17" t="s">
        <v>83</v>
      </c>
      <c r="C27" s="17" t="s">
        <v>103</v>
      </c>
      <c r="D27" s="62" t="s">
        <v>93</v>
      </c>
      <c r="E27" s="17" t="s">
        <v>12</v>
      </c>
      <c r="F27" s="17" t="s">
        <v>56</v>
      </c>
      <c r="G27" s="17"/>
    </row>
    <row r="28" spans="1:7" ht="25.05" customHeight="1" x14ac:dyDescent="0.3">
      <c r="A28" s="16" t="s">
        <v>104</v>
      </c>
      <c r="B28" s="17" t="s">
        <v>83</v>
      </c>
      <c r="C28" s="17" t="s">
        <v>105</v>
      </c>
      <c r="D28" s="62" t="s">
        <v>93</v>
      </c>
      <c r="E28" s="17" t="s">
        <v>106</v>
      </c>
      <c r="F28" s="17" t="s">
        <v>13</v>
      </c>
      <c r="G28" s="17"/>
    </row>
    <row r="29" spans="1:7" ht="25.05" customHeight="1" x14ac:dyDescent="0.3">
      <c r="A29" s="16" t="s">
        <v>107</v>
      </c>
      <c r="B29" s="17" t="s">
        <v>83</v>
      </c>
      <c r="C29" s="17" t="s">
        <v>108</v>
      </c>
      <c r="D29" s="62" t="s">
        <v>93</v>
      </c>
      <c r="E29" s="17" t="s">
        <v>109</v>
      </c>
      <c r="F29" s="17" t="s">
        <v>13</v>
      </c>
      <c r="G29" s="17"/>
    </row>
    <row r="30" spans="1:7" ht="25.05" customHeight="1" x14ac:dyDescent="0.3">
      <c r="A30" s="16" t="s">
        <v>110</v>
      </c>
      <c r="B30" s="17" t="s">
        <v>83</v>
      </c>
      <c r="C30" s="17" t="s">
        <v>111</v>
      </c>
      <c r="D30" s="62" t="s">
        <v>93</v>
      </c>
      <c r="E30" s="17" t="s">
        <v>112</v>
      </c>
      <c r="F30" s="17" t="s">
        <v>13</v>
      </c>
      <c r="G30" s="17"/>
    </row>
    <row r="31" spans="1:7" ht="25.05" customHeight="1" x14ac:dyDescent="0.3">
      <c r="A31" s="16" t="s">
        <v>113</v>
      </c>
      <c r="B31" s="17" t="s">
        <v>83</v>
      </c>
      <c r="C31" s="17" t="s">
        <v>114</v>
      </c>
      <c r="D31" s="62" t="s">
        <v>93</v>
      </c>
      <c r="E31" s="17" t="s">
        <v>12</v>
      </c>
      <c r="F31" s="17" t="s">
        <v>40</v>
      </c>
      <c r="G31" s="17"/>
    </row>
    <row r="32" spans="1:7" ht="25.05" customHeight="1" x14ac:dyDescent="0.3">
      <c r="A32" s="16" t="s">
        <v>115</v>
      </c>
      <c r="B32" s="17" t="s">
        <v>83</v>
      </c>
      <c r="C32" s="17" t="s">
        <v>116</v>
      </c>
      <c r="D32" s="62" t="s">
        <v>93</v>
      </c>
      <c r="E32" s="17" t="s">
        <v>12</v>
      </c>
      <c r="F32" s="17" t="s">
        <v>40</v>
      </c>
      <c r="G32" s="17"/>
    </row>
    <row r="33" spans="1:7" ht="25.05" customHeight="1" x14ac:dyDescent="0.3">
      <c r="A33" s="16" t="s">
        <v>117</v>
      </c>
      <c r="B33" s="17" t="s">
        <v>83</v>
      </c>
      <c r="C33" s="17" t="s">
        <v>118</v>
      </c>
      <c r="D33" s="62" t="s">
        <v>93</v>
      </c>
      <c r="E33" s="17" t="s">
        <v>12</v>
      </c>
      <c r="F33" s="17" t="s">
        <v>13</v>
      </c>
      <c r="G33" s="17"/>
    </row>
    <row r="34" spans="1:7" ht="25.05" customHeight="1" x14ac:dyDescent="0.3">
      <c r="A34" s="16" t="s">
        <v>119</v>
      </c>
      <c r="B34" s="17" t="s">
        <v>83</v>
      </c>
      <c r="C34" s="17" t="s">
        <v>120</v>
      </c>
      <c r="D34" s="62" t="s">
        <v>121</v>
      </c>
      <c r="E34" s="17" t="s">
        <v>122</v>
      </c>
      <c r="F34" s="17" t="s">
        <v>13</v>
      </c>
      <c r="G34" s="17" t="s">
        <v>123</v>
      </c>
    </row>
    <row r="35" spans="1:7" ht="25.05" customHeight="1" x14ac:dyDescent="0.3">
      <c r="A35" s="16" t="s">
        <v>124</v>
      </c>
      <c r="B35" s="17" t="s">
        <v>83</v>
      </c>
      <c r="C35" s="17" t="s">
        <v>125</v>
      </c>
      <c r="D35" s="62" t="s">
        <v>126</v>
      </c>
      <c r="E35" s="17" t="s">
        <v>127</v>
      </c>
      <c r="F35" s="17" t="s">
        <v>13</v>
      </c>
      <c r="G35" s="17" t="s">
        <v>123</v>
      </c>
    </row>
    <row r="36" spans="1:7" ht="25.05" customHeight="1" x14ac:dyDescent="0.3">
      <c r="A36" s="16" t="s">
        <v>128</v>
      </c>
      <c r="B36" s="17" t="s">
        <v>83</v>
      </c>
      <c r="C36" s="17" t="s">
        <v>129</v>
      </c>
      <c r="D36" s="62" t="s">
        <v>130</v>
      </c>
      <c r="E36" s="17" t="s">
        <v>127</v>
      </c>
      <c r="F36" s="17" t="s">
        <v>13</v>
      </c>
      <c r="G36" s="17" t="s">
        <v>123</v>
      </c>
    </row>
    <row r="37" spans="1:7" ht="25.05" customHeight="1" x14ac:dyDescent="0.3">
      <c r="A37" s="16" t="s">
        <v>131</v>
      </c>
      <c r="B37" s="17" t="s">
        <v>83</v>
      </c>
      <c r="C37" s="17" t="s">
        <v>132</v>
      </c>
      <c r="D37" s="62" t="s">
        <v>133</v>
      </c>
      <c r="E37" s="17" t="s">
        <v>134</v>
      </c>
      <c r="F37" s="17" t="s">
        <v>13</v>
      </c>
      <c r="G37" s="17" t="s">
        <v>135</v>
      </c>
    </row>
    <row r="38" spans="1:7" ht="25.05" customHeight="1" x14ac:dyDescent="0.3">
      <c r="A38" s="16" t="s">
        <v>136</v>
      </c>
      <c r="B38" s="17" t="s">
        <v>83</v>
      </c>
      <c r="C38" s="17" t="s">
        <v>137</v>
      </c>
      <c r="D38" s="62" t="s">
        <v>133</v>
      </c>
      <c r="E38" s="17" t="s">
        <v>94</v>
      </c>
      <c r="F38" s="17" t="s">
        <v>13</v>
      </c>
      <c r="G38" s="17"/>
    </row>
    <row r="39" spans="1:7" ht="25.05" customHeight="1" x14ac:dyDescent="0.3">
      <c r="A39" s="18" t="s">
        <v>138</v>
      </c>
      <c r="B39" s="19" t="s">
        <v>139</v>
      </c>
      <c r="C39" s="19" t="s">
        <v>140</v>
      </c>
      <c r="D39" s="63" t="s">
        <v>141</v>
      </c>
      <c r="E39" s="19" t="s">
        <v>12</v>
      </c>
      <c r="F39" s="19" t="s">
        <v>66</v>
      </c>
      <c r="G39" s="19"/>
    </row>
    <row r="40" spans="1:7" ht="25.05" customHeight="1" x14ac:dyDescent="0.3">
      <c r="A40" s="18" t="s">
        <v>142</v>
      </c>
      <c r="B40" s="19" t="s">
        <v>139</v>
      </c>
      <c r="C40" s="19" t="s">
        <v>143</v>
      </c>
      <c r="D40" s="63" t="s">
        <v>141</v>
      </c>
      <c r="E40" s="19" t="s">
        <v>12</v>
      </c>
      <c r="F40" s="19" t="s">
        <v>56</v>
      </c>
      <c r="G40" s="19"/>
    </row>
    <row r="41" spans="1:7" ht="25.05" customHeight="1" x14ac:dyDescent="0.3">
      <c r="A41" s="18" t="s">
        <v>144</v>
      </c>
      <c r="B41" s="19" t="s">
        <v>139</v>
      </c>
      <c r="C41" s="19" t="s">
        <v>145</v>
      </c>
      <c r="D41" s="63" t="s">
        <v>141</v>
      </c>
      <c r="E41" s="19" t="s">
        <v>146</v>
      </c>
      <c r="F41" s="19" t="s">
        <v>13</v>
      </c>
      <c r="G41" s="19"/>
    </row>
    <row r="42" spans="1:7" ht="25.05" customHeight="1" x14ac:dyDescent="0.3">
      <c r="A42" s="18" t="s">
        <v>147</v>
      </c>
      <c r="B42" s="19" t="s">
        <v>139</v>
      </c>
      <c r="C42" s="19" t="s">
        <v>148</v>
      </c>
      <c r="D42" s="63" t="s">
        <v>141</v>
      </c>
      <c r="E42" s="19" t="s">
        <v>12</v>
      </c>
      <c r="F42" s="19" t="s">
        <v>56</v>
      </c>
      <c r="G42" s="19"/>
    </row>
    <row r="43" spans="1:7" ht="25.05" customHeight="1" x14ac:dyDescent="0.3">
      <c r="A43" s="18" t="s">
        <v>149</v>
      </c>
      <c r="B43" s="19" t="s">
        <v>139</v>
      </c>
      <c r="C43" s="19" t="s">
        <v>150</v>
      </c>
      <c r="D43" s="63" t="s">
        <v>141</v>
      </c>
      <c r="E43" s="19" t="s">
        <v>12</v>
      </c>
      <c r="F43" s="19" t="s">
        <v>56</v>
      </c>
      <c r="G43" s="19"/>
    </row>
    <row r="44" spans="1:7" ht="25.05" customHeight="1" x14ac:dyDescent="0.3">
      <c r="A44" s="18" t="s">
        <v>151</v>
      </c>
      <c r="B44" s="19" t="s">
        <v>139</v>
      </c>
      <c r="C44" s="19" t="s">
        <v>152</v>
      </c>
      <c r="D44" s="63" t="s">
        <v>153</v>
      </c>
      <c r="E44" s="19" t="s">
        <v>154</v>
      </c>
      <c r="F44" s="19" t="s">
        <v>13</v>
      </c>
      <c r="G44" s="19" t="s">
        <v>155</v>
      </c>
    </row>
    <row r="45" spans="1:7" ht="43.8" customHeight="1" x14ac:dyDescent="0.3">
      <c r="A45" s="18" t="s">
        <v>156</v>
      </c>
      <c r="B45" s="19" t="s">
        <v>139</v>
      </c>
      <c r="C45" s="19" t="s">
        <v>157</v>
      </c>
      <c r="D45" s="63" t="s">
        <v>158</v>
      </c>
      <c r="E45" s="19" t="s">
        <v>159</v>
      </c>
      <c r="F45" s="19" t="s">
        <v>160</v>
      </c>
      <c r="G45" s="19"/>
    </row>
    <row r="46" spans="1:7" ht="25.05" customHeight="1" x14ac:dyDescent="0.3">
      <c r="A46" s="18" t="s">
        <v>161</v>
      </c>
      <c r="B46" s="19" t="s">
        <v>139</v>
      </c>
      <c r="C46" s="19" t="s">
        <v>162</v>
      </c>
      <c r="D46" s="63" t="s">
        <v>163</v>
      </c>
      <c r="E46" s="19" t="s">
        <v>164</v>
      </c>
      <c r="F46" s="19" t="s">
        <v>40</v>
      </c>
      <c r="G46" s="19"/>
    </row>
    <row r="47" spans="1:7" ht="25.05" customHeight="1" x14ac:dyDescent="0.3">
      <c r="A47" s="18" t="s">
        <v>165</v>
      </c>
      <c r="B47" s="19" t="s">
        <v>139</v>
      </c>
      <c r="C47" s="19" t="s">
        <v>166</v>
      </c>
      <c r="D47" s="63" t="s">
        <v>167</v>
      </c>
      <c r="E47" s="19" t="s">
        <v>164</v>
      </c>
      <c r="F47" s="19" t="s">
        <v>40</v>
      </c>
      <c r="G47" s="19"/>
    </row>
    <row r="48" spans="1:7" ht="25.05" customHeight="1" x14ac:dyDescent="0.3">
      <c r="A48" s="20" t="s">
        <v>168</v>
      </c>
      <c r="B48" s="21" t="s">
        <v>169</v>
      </c>
      <c r="C48" s="21" t="s">
        <v>170</v>
      </c>
      <c r="D48" s="64" t="s">
        <v>171</v>
      </c>
      <c r="E48" s="21" t="s">
        <v>172</v>
      </c>
      <c r="F48" s="21" t="s">
        <v>40</v>
      </c>
      <c r="G48" s="21" t="s">
        <v>173</v>
      </c>
    </row>
    <row r="49" spans="1:7" ht="25.05" customHeight="1" x14ac:dyDescent="0.3">
      <c r="A49" s="22" t="s">
        <v>174</v>
      </c>
      <c r="B49" s="23" t="s">
        <v>175</v>
      </c>
      <c r="C49" s="23" t="s">
        <v>176</v>
      </c>
      <c r="D49" s="65" t="s">
        <v>177</v>
      </c>
      <c r="E49" s="23" t="s">
        <v>12</v>
      </c>
      <c r="F49" s="23" t="s">
        <v>178</v>
      </c>
      <c r="G49" s="23"/>
    </row>
    <row r="50" spans="1:7" ht="25.05" customHeight="1" x14ac:dyDescent="0.3">
      <c r="A50" s="22" t="s">
        <v>179</v>
      </c>
      <c r="B50" s="23" t="s">
        <v>175</v>
      </c>
      <c r="C50" s="23" t="s">
        <v>180</v>
      </c>
      <c r="D50" s="65" t="s">
        <v>181</v>
      </c>
      <c r="E50" s="23" t="s">
        <v>12</v>
      </c>
      <c r="F50" s="23" t="s">
        <v>182</v>
      </c>
      <c r="G50" s="23"/>
    </row>
    <row r="51" spans="1:7" ht="25.05" customHeight="1" x14ac:dyDescent="0.3">
      <c r="A51" s="22" t="s">
        <v>183</v>
      </c>
      <c r="B51" s="23" t="s">
        <v>175</v>
      </c>
      <c r="C51" s="23" t="s">
        <v>184</v>
      </c>
      <c r="D51" s="65" t="s">
        <v>185</v>
      </c>
      <c r="E51" s="23" t="s">
        <v>12</v>
      </c>
      <c r="F51" s="23" t="s">
        <v>186</v>
      </c>
      <c r="G51" s="23"/>
    </row>
    <row r="52" spans="1:7" ht="25.05" customHeight="1" x14ac:dyDescent="0.3">
      <c r="A52" s="22" t="s">
        <v>187</v>
      </c>
      <c r="B52" s="23" t="s">
        <v>175</v>
      </c>
      <c r="C52" s="23" t="s">
        <v>188</v>
      </c>
      <c r="D52" s="65" t="s">
        <v>189</v>
      </c>
      <c r="E52" s="23" t="s">
        <v>12</v>
      </c>
      <c r="F52" s="23" t="s">
        <v>190</v>
      </c>
      <c r="G52" s="23"/>
    </row>
    <row r="53" spans="1:7" ht="25.05" customHeight="1" x14ac:dyDescent="0.3">
      <c r="A53" s="22" t="s">
        <v>191</v>
      </c>
      <c r="B53" s="23" t="s">
        <v>175</v>
      </c>
      <c r="C53" s="23" t="s">
        <v>192</v>
      </c>
      <c r="D53" s="65" t="s">
        <v>193</v>
      </c>
      <c r="E53" s="23" t="s">
        <v>12</v>
      </c>
      <c r="F53" s="23" t="s">
        <v>66</v>
      </c>
      <c r="G53" s="23"/>
    </row>
    <row r="54" spans="1:7" ht="25.05" customHeight="1" x14ac:dyDescent="0.3">
      <c r="A54" s="22" t="s">
        <v>194</v>
      </c>
      <c r="B54" s="23" t="s">
        <v>175</v>
      </c>
      <c r="C54" s="23" t="s">
        <v>195</v>
      </c>
      <c r="D54" s="65" t="s">
        <v>196</v>
      </c>
      <c r="E54" s="23" t="s">
        <v>12</v>
      </c>
      <c r="F54" s="23" t="s">
        <v>197</v>
      </c>
      <c r="G54" s="23"/>
    </row>
    <row r="55" spans="1:7" ht="25.05" customHeight="1" x14ac:dyDescent="0.3">
      <c r="A55" s="22" t="s">
        <v>198</v>
      </c>
      <c r="B55" s="23" t="s">
        <v>175</v>
      </c>
      <c r="C55" s="23" t="s">
        <v>199</v>
      </c>
      <c r="D55" s="65" t="s">
        <v>200</v>
      </c>
      <c r="E55" s="23" t="s">
        <v>201</v>
      </c>
      <c r="F55" s="23" t="s">
        <v>56</v>
      </c>
      <c r="G55" s="23"/>
    </row>
    <row r="56" spans="1:7" ht="25.05" customHeight="1" x14ac:dyDescent="0.3">
      <c r="A56" s="22" t="s">
        <v>202</v>
      </c>
      <c r="B56" s="23" t="s">
        <v>175</v>
      </c>
      <c r="C56" s="23" t="s">
        <v>203</v>
      </c>
      <c r="D56" s="65" t="s">
        <v>204</v>
      </c>
      <c r="E56" s="23" t="s">
        <v>205</v>
      </c>
      <c r="F56" s="23" t="s">
        <v>56</v>
      </c>
      <c r="G56" s="23" t="s">
        <v>206</v>
      </c>
    </row>
    <row r="57" spans="1:7" ht="25.05" customHeight="1" x14ac:dyDescent="0.3">
      <c r="A57" s="22" t="s">
        <v>207</v>
      </c>
      <c r="B57" s="23" t="s">
        <v>175</v>
      </c>
      <c r="C57" s="23" t="s">
        <v>208</v>
      </c>
      <c r="D57" s="65" t="s">
        <v>209</v>
      </c>
      <c r="E57" s="23" t="s">
        <v>210</v>
      </c>
      <c r="F57" s="23" t="s">
        <v>56</v>
      </c>
      <c r="G57" s="23" t="s">
        <v>211</v>
      </c>
    </row>
    <row r="58" spans="1:7" ht="25.05" customHeight="1" x14ac:dyDescent="0.3">
      <c r="A58" s="22" t="s">
        <v>212</v>
      </c>
      <c r="B58" s="23" t="s">
        <v>175</v>
      </c>
      <c r="C58" s="23" t="s">
        <v>213</v>
      </c>
      <c r="D58" s="65" t="s">
        <v>214</v>
      </c>
      <c r="E58" s="23" t="s">
        <v>215</v>
      </c>
      <c r="F58" s="23" t="s">
        <v>56</v>
      </c>
      <c r="G58" s="23"/>
    </row>
    <row r="59" spans="1:7" ht="25.05" customHeight="1" x14ac:dyDescent="0.3">
      <c r="A59" s="22" t="s">
        <v>216</v>
      </c>
      <c r="B59" s="23" t="s">
        <v>175</v>
      </c>
      <c r="C59" s="23" t="s">
        <v>217</v>
      </c>
      <c r="D59" s="65" t="s">
        <v>218</v>
      </c>
      <c r="E59" s="23" t="s">
        <v>12</v>
      </c>
      <c r="F59" s="23" t="s">
        <v>219</v>
      </c>
      <c r="G59" s="23" t="s">
        <v>220</v>
      </c>
    </row>
    <row r="60" spans="1:7" ht="25.05" customHeight="1" x14ac:dyDescent="0.3">
      <c r="A60" s="24" t="s">
        <v>221</v>
      </c>
      <c r="B60" s="25" t="s">
        <v>222</v>
      </c>
      <c r="C60" s="25" t="s">
        <v>223</v>
      </c>
      <c r="D60" s="66" t="s">
        <v>745</v>
      </c>
      <c r="E60" s="25" t="s">
        <v>224</v>
      </c>
      <c r="F60" s="25" t="s">
        <v>66</v>
      </c>
      <c r="G60" s="25"/>
    </row>
    <row r="61" spans="1:7" ht="25.05" customHeight="1" x14ac:dyDescent="0.3">
      <c r="A61" s="24" t="s">
        <v>225</v>
      </c>
      <c r="B61" s="25" t="s">
        <v>222</v>
      </c>
      <c r="C61" s="25" t="s">
        <v>226</v>
      </c>
      <c r="D61" s="66"/>
      <c r="E61" s="25" t="s">
        <v>224</v>
      </c>
      <c r="F61" s="25" t="s">
        <v>40</v>
      </c>
      <c r="G61" s="25"/>
    </row>
    <row r="62" spans="1:7" ht="25.05" customHeight="1" x14ac:dyDescent="0.3">
      <c r="A62" s="24" t="s">
        <v>227</v>
      </c>
      <c r="B62" s="25" t="s">
        <v>222</v>
      </c>
      <c r="C62" s="25" t="s">
        <v>228</v>
      </c>
      <c r="D62" s="66"/>
      <c r="E62" s="25" t="s">
        <v>224</v>
      </c>
      <c r="F62" s="25" t="s">
        <v>40</v>
      </c>
      <c r="G62" s="25"/>
    </row>
    <row r="63" spans="1:7" ht="25.05" customHeight="1" x14ac:dyDescent="0.3">
      <c r="A63" s="24" t="s">
        <v>229</v>
      </c>
      <c r="B63" s="25" t="s">
        <v>222</v>
      </c>
      <c r="C63" s="25" t="s">
        <v>230</v>
      </c>
      <c r="D63" s="66"/>
      <c r="E63" s="25" t="s">
        <v>224</v>
      </c>
      <c r="F63" s="25" t="s">
        <v>66</v>
      </c>
      <c r="G63" s="25"/>
    </row>
    <row r="64" spans="1:7" ht="25.05" customHeight="1" x14ac:dyDescent="0.3">
      <c r="A64" s="24" t="s">
        <v>231</v>
      </c>
      <c r="B64" s="25" t="s">
        <v>222</v>
      </c>
      <c r="C64" s="25" t="s">
        <v>232</v>
      </c>
      <c r="D64" s="66"/>
      <c r="E64" s="25" t="s">
        <v>224</v>
      </c>
      <c r="F64" s="25" t="s">
        <v>66</v>
      </c>
      <c r="G64" s="25"/>
    </row>
    <row r="65" spans="1:7" ht="25.05" customHeight="1" x14ac:dyDescent="0.3">
      <c r="A65" s="24" t="s">
        <v>233</v>
      </c>
      <c r="B65" s="25" t="s">
        <v>222</v>
      </c>
      <c r="C65" s="25" t="s">
        <v>234</v>
      </c>
      <c r="D65" s="66"/>
      <c r="E65" s="25" t="s">
        <v>235</v>
      </c>
      <c r="F65" s="25" t="s">
        <v>66</v>
      </c>
      <c r="G65" s="25"/>
    </row>
    <row r="66" spans="1:7" ht="25.05" customHeight="1" x14ac:dyDescent="0.3">
      <c r="A66" s="24" t="s">
        <v>236</v>
      </c>
      <c r="B66" s="25" t="s">
        <v>222</v>
      </c>
      <c r="C66" s="25" t="s">
        <v>237</v>
      </c>
      <c r="D66" s="66"/>
      <c r="E66" s="25" t="s">
        <v>235</v>
      </c>
      <c r="F66" s="25" t="s">
        <v>40</v>
      </c>
      <c r="G66" s="25"/>
    </row>
    <row r="67" spans="1:7" ht="25.05" customHeight="1" x14ac:dyDescent="0.3">
      <c r="A67" s="24" t="s">
        <v>238</v>
      </c>
      <c r="B67" s="25" t="s">
        <v>222</v>
      </c>
      <c r="C67" s="25" t="s">
        <v>239</v>
      </c>
      <c r="D67" s="66"/>
      <c r="E67" s="25" t="s">
        <v>235</v>
      </c>
      <c r="F67" s="25" t="s">
        <v>40</v>
      </c>
      <c r="G67" s="25"/>
    </row>
    <row r="68" spans="1:7" ht="25.05" customHeight="1" x14ac:dyDescent="0.3">
      <c r="A68" s="24" t="s">
        <v>240</v>
      </c>
      <c r="B68" s="25" t="s">
        <v>222</v>
      </c>
      <c r="C68" s="25" t="s">
        <v>241</v>
      </c>
      <c r="D68" s="66"/>
      <c r="E68" s="25" t="s">
        <v>235</v>
      </c>
      <c r="F68" s="25" t="s">
        <v>66</v>
      </c>
      <c r="G68" s="25"/>
    </row>
    <row r="69" spans="1:7" ht="25.05" customHeight="1" x14ac:dyDescent="0.3">
      <c r="A69" s="24" t="s">
        <v>242</v>
      </c>
      <c r="B69" s="25" t="s">
        <v>222</v>
      </c>
      <c r="C69" s="25" t="s">
        <v>243</v>
      </c>
      <c r="D69" s="66"/>
      <c r="E69" s="25" t="s">
        <v>235</v>
      </c>
      <c r="F69" s="25" t="s">
        <v>66</v>
      </c>
      <c r="G69" s="25"/>
    </row>
    <row r="70" spans="1:7" ht="25.05" customHeight="1" x14ac:dyDescent="0.3">
      <c r="A70" s="24" t="s">
        <v>244</v>
      </c>
      <c r="B70" s="25" t="s">
        <v>222</v>
      </c>
      <c r="C70" s="25" t="s">
        <v>245</v>
      </c>
      <c r="D70" s="66"/>
      <c r="E70" s="25" t="s">
        <v>246</v>
      </c>
      <c r="F70" s="25" t="s">
        <v>66</v>
      </c>
      <c r="G70" s="25"/>
    </row>
    <row r="71" spans="1:7" ht="25.05" customHeight="1" x14ac:dyDescent="0.3">
      <c r="A71" s="24" t="s">
        <v>247</v>
      </c>
      <c r="B71" s="25" t="s">
        <v>222</v>
      </c>
      <c r="C71" s="25" t="s">
        <v>248</v>
      </c>
      <c r="D71" s="66"/>
      <c r="E71" s="25" t="s">
        <v>246</v>
      </c>
      <c r="F71" s="25" t="s">
        <v>40</v>
      </c>
      <c r="G71" s="25"/>
    </row>
    <row r="72" spans="1:7" ht="25.05" customHeight="1" x14ac:dyDescent="0.3">
      <c r="A72" s="24" t="s">
        <v>249</v>
      </c>
      <c r="B72" s="25" t="s">
        <v>222</v>
      </c>
      <c r="C72" s="25" t="s">
        <v>250</v>
      </c>
      <c r="D72" s="66"/>
      <c r="E72" s="25" t="s">
        <v>246</v>
      </c>
      <c r="F72" s="25" t="s">
        <v>40</v>
      </c>
      <c r="G72" s="25"/>
    </row>
    <row r="73" spans="1:7" ht="25.05" customHeight="1" x14ac:dyDescent="0.3">
      <c r="A73" s="24" t="s">
        <v>251</v>
      </c>
      <c r="B73" s="25" t="s">
        <v>222</v>
      </c>
      <c r="C73" s="25" t="s">
        <v>252</v>
      </c>
      <c r="D73" s="66"/>
      <c r="E73" s="25" t="s">
        <v>246</v>
      </c>
      <c r="F73" s="25" t="s">
        <v>66</v>
      </c>
      <c r="G73" s="25"/>
    </row>
    <row r="74" spans="1:7" ht="25.05" customHeight="1" x14ac:dyDescent="0.3">
      <c r="A74" s="24" t="s">
        <v>253</v>
      </c>
      <c r="B74" s="25" t="s">
        <v>222</v>
      </c>
      <c r="C74" s="25" t="s">
        <v>254</v>
      </c>
      <c r="D74" s="66"/>
      <c r="E74" s="25" t="s">
        <v>246</v>
      </c>
      <c r="F74" s="25" t="s">
        <v>66</v>
      </c>
      <c r="G74" s="25"/>
    </row>
    <row r="75" spans="1:7" ht="25.05" customHeight="1" x14ac:dyDescent="0.3">
      <c r="A75" s="24" t="s">
        <v>255</v>
      </c>
      <c r="B75" s="25" t="s">
        <v>222</v>
      </c>
      <c r="C75" s="25" t="s">
        <v>256</v>
      </c>
      <c r="D75" s="66"/>
      <c r="E75" s="25" t="s">
        <v>257</v>
      </c>
      <c r="F75" s="25" t="s">
        <v>66</v>
      </c>
      <c r="G75" s="25"/>
    </row>
    <row r="76" spans="1:7" ht="25.05" customHeight="1" x14ac:dyDescent="0.3">
      <c r="A76" s="24" t="s">
        <v>258</v>
      </c>
      <c r="B76" s="25" t="s">
        <v>222</v>
      </c>
      <c r="C76" s="25" t="s">
        <v>259</v>
      </c>
      <c r="D76" s="66"/>
      <c r="E76" s="25" t="s">
        <v>257</v>
      </c>
      <c r="F76" s="25" t="s">
        <v>40</v>
      </c>
      <c r="G76" s="25"/>
    </row>
    <row r="77" spans="1:7" ht="25.05" customHeight="1" x14ac:dyDescent="0.3">
      <c r="A77" s="24" t="s">
        <v>260</v>
      </c>
      <c r="B77" s="25" t="s">
        <v>222</v>
      </c>
      <c r="C77" s="25" t="s">
        <v>261</v>
      </c>
      <c r="D77" s="66"/>
      <c r="E77" s="25" t="s">
        <v>257</v>
      </c>
      <c r="F77" s="25" t="s">
        <v>40</v>
      </c>
      <c r="G77" s="25"/>
    </row>
    <row r="78" spans="1:7" ht="25.05" customHeight="1" x14ac:dyDescent="0.3">
      <c r="A78" s="24" t="s">
        <v>262</v>
      </c>
      <c r="B78" s="25" t="s">
        <v>222</v>
      </c>
      <c r="C78" s="25" t="s">
        <v>263</v>
      </c>
      <c r="D78" s="66"/>
      <c r="E78" s="25" t="s">
        <v>257</v>
      </c>
      <c r="F78" s="25" t="s">
        <v>66</v>
      </c>
      <c r="G78" s="25"/>
    </row>
    <row r="79" spans="1:7" ht="25.05" customHeight="1" x14ac:dyDescent="0.3">
      <c r="A79" s="24" t="s">
        <v>264</v>
      </c>
      <c r="B79" s="25" t="s">
        <v>222</v>
      </c>
      <c r="C79" s="25" t="s">
        <v>265</v>
      </c>
      <c r="D79" s="66"/>
      <c r="E79" s="25" t="s">
        <v>257</v>
      </c>
      <c r="F79" s="25" t="s">
        <v>66</v>
      </c>
      <c r="G79" s="25"/>
    </row>
    <row r="80" spans="1:7" ht="25.05" customHeight="1" x14ac:dyDescent="0.3">
      <c r="A80" s="24" t="s">
        <v>266</v>
      </c>
      <c r="B80" s="25" t="s">
        <v>222</v>
      </c>
      <c r="C80" s="25" t="s">
        <v>267</v>
      </c>
      <c r="D80" s="66"/>
      <c r="E80" s="25" t="s">
        <v>224</v>
      </c>
      <c r="F80" s="25" t="s">
        <v>66</v>
      </c>
      <c r="G80" s="25" t="s">
        <v>268</v>
      </c>
    </row>
    <row r="81" spans="1:7" ht="25.05" customHeight="1" x14ac:dyDescent="0.3">
      <c r="A81" s="24" t="s">
        <v>269</v>
      </c>
      <c r="B81" s="25" t="s">
        <v>222</v>
      </c>
      <c r="C81" s="25" t="s">
        <v>270</v>
      </c>
      <c r="D81" s="66"/>
      <c r="E81" s="25" t="s">
        <v>224</v>
      </c>
      <c r="F81" s="25" t="s">
        <v>40</v>
      </c>
      <c r="G81" s="25" t="s">
        <v>268</v>
      </c>
    </row>
    <row r="82" spans="1:7" ht="25.05" customHeight="1" x14ac:dyDescent="0.3">
      <c r="A82" s="24" t="s">
        <v>271</v>
      </c>
      <c r="B82" s="25" t="s">
        <v>222</v>
      </c>
      <c r="C82" s="25" t="s">
        <v>272</v>
      </c>
      <c r="D82" s="66"/>
      <c r="E82" s="25" t="s">
        <v>224</v>
      </c>
      <c r="F82" s="25" t="s">
        <v>40</v>
      </c>
      <c r="G82" s="25" t="s">
        <v>268</v>
      </c>
    </row>
    <row r="83" spans="1:7" ht="25.05" customHeight="1" x14ac:dyDescent="0.3">
      <c r="A83" s="24" t="s">
        <v>273</v>
      </c>
      <c r="B83" s="25" t="s">
        <v>222</v>
      </c>
      <c r="C83" s="25" t="s">
        <v>274</v>
      </c>
      <c r="D83" s="66"/>
      <c r="E83" s="25" t="s">
        <v>224</v>
      </c>
      <c r="F83" s="25" t="s">
        <v>66</v>
      </c>
      <c r="G83" s="25" t="s">
        <v>268</v>
      </c>
    </row>
    <row r="84" spans="1:7" ht="25.05" customHeight="1" x14ac:dyDescent="0.3">
      <c r="A84" s="24" t="s">
        <v>275</v>
      </c>
      <c r="B84" s="25" t="s">
        <v>222</v>
      </c>
      <c r="C84" s="25" t="s">
        <v>276</v>
      </c>
      <c r="D84" s="66"/>
      <c r="E84" s="25" t="s">
        <v>224</v>
      </c>
      <c r="F84" s="25" t="s">
        <v>66</v>
      </c>
      <c r="G84" s="25" t="s">
        <v>268</v>
      </c>
    </row>
    <row r="85" spans="1:7" ht="25.05" customHeight="1" x14ac:dyDescent="0.3">
      <c r="A85" s="24" t="s">
        <v>277</v>
      </c>
      <c r="B85" s="25" t="s">
        <v>222</v>
      </c>
      <c r="C85" s="25" t="s">
        <v>278</v>
      </c>
      <c r="D85" s="66"/>
      <c r="E85" s="25" t="s">
        <v>235</v>
      </c>
      <c r="F85" s="25" t="s">
        <v>66</v>
      </c>
      <c r="G85" s="25" t="s">
        <v>268</v>
      </c>
    </row>
    <row r="86" spans="1:7" ht="25.05" customHeight="1" x14ac:dyDescent="0.3">
      <c r="A86" s="24" t="s">
        <v>279</v>
      </c>
      <c r="B86" s="25" t="s">
        <v>222</v>
      </c>
      <c r="C86" s="25" t="s">
        <v>280</v>
      </c>
      <c r="D86" s="66"/>
      <c r="E86" s="25" t="s">
        <v>235</v>
      </c>
      <c r="F86" s="25" t="s">
        <v>40</v>
      </c>
      <c r="G86" s="25" t="s">
        <v>268</v>
      </c>
    </row>
    <row r="87" spans="1:7" ht="25.05" customHeight="1" x14ac:dyDescent="0.3">
      <c r="A87" s="24" t="s">
        <v>281</v>
      </c>
      <c r="B87" s="25" t="s">
        <v>222</v>
      </c>
      <c r="C87" s="25" t="s">
        <v>282</v>
      </c>
      <c r="D87" s="66"/>
      <c r="E87" s="25" t="s">
        <v>235</v>
      </c>
      <c r="F87" s="25" t="s">
        <v>40</v>
      </c>
      <c r="G87" s="25" t="s">
        <v>268</v>
      </c>
    </row>
    <row r="88" spans="1:7" ht="25.05" customHeight="1" x14ac:dyDescent="0.3">
      <c r="A88" s="24" t="s">
        <v>283</v>
      </c>
      <c r="B88" s="25" t="s">
        <v>222</v>
      </c>
      <c r="C88" s="25" t="s">
        <v>284</v>
      </c>
      <c r="D88" s="66"/>
      <c r="E88" s="25" t="s">
        <v>235</v>
      </c>
      <c r="F88" s="25" t="s">
        <v>66</v>
      </c>
      <c r="G88" s="25" t="s">
        <v>268</v>
      </c>
    </row>
    <row r="89" spans="1:7" ht="25.05" customHeight="1" x14ac:dyDescent="0.3">
      <c r="A89" s="24" t="s">
        <v>285</v>
      </c>
      <c r="B89" s="25" t="s">
        <v>222</v>
      </c>
      <c r="C89" s="25" t="s">
        <v>286</v>
      </c>
      <c r="D89" s="66"/>
      <c r="E89" s="25" t="s">
        <v>235</v>
      </c>
      <c r="F89" s="25" t="s">
        <v>66</v>
      </c>
      <c r="G89" s="25" t="s">
        <v>268</v>
      </c>
    </row>
    <row r="90" spans="1:7" ht="25.05" customHeight="1" x14ac:dyDescent="0.3">
      <c r="A90" s="24" t="s">
        <v>287</v>
      </c>
      <c r="B90" s="25" t="s">
        <v>222</v>
      </c>
      <c r="C90" s="25" t="s">
        <v>288</v>
      </c>
      <c r="D90" s="66"/>
      <c r="E90" s="25" t="s">
        <v>246</v>
      </c>
      <c r="F90" s="25" t="s">
        <v>66</v>
      </c>
      <c r="G90" s="25" t="s">
        <v>268</v>
      </c>
    </row>
    <row r="91" spans="1:7" ht="25.05" customHeight="1" x14ac:dyDescent="0.3">
      <c r="A91" s="24" t="s">
        <v>289</v>
      </c>
      <c r="B91" s="25" t="s">
        <v>222</v>
      </c>
      <c r="C91" s="25" t="s">
        <v>290</v>
      </c>
      <c r="D91" s="66"/>
      <c r="E91" s="25" t="s">
        <v>246</v>
      </c>
      <c r="F91" s="25" t="s">
        <v>40</v>
      </c>
      <c r="G91" s="25" t="s">
        <v>268</v>
      </c>
    </row>
    <row r="92" spans="1:7" ht="25.05" customHeight="1" x14ac:dyDescent="0.3">
      <c r="A92" s="24" t="s">
        <v>291</v>
      </c>
      <c r="B92" s="25" t="s">
        <v>222</v>
      </c>
      <c r="C92" s="25" t="s">
        <v>292</v>
      </c>
      <c r="D92" s="66"/>
      <c r="E92" s="25" t="s">
        <v>246</v>
      </c>
      <c r="F92" s="25" t="s">
        <v>40</v>
      </c>
      <c r="G92" s="25" t="s">
        <v>268</v>
      </c>
    </row>
    <row r="93" spans="1:7" ht="25.05" customHeight="1" x14ac:dyDescent="0.3">
      <c r="A93" s="24" t="s">
        <v>293</v>
      </c>
      <c r="B93" s="25" t="s">
        <v>222</v>
      </c>
      <c r="C93" s="25" t="s">
        <v>294</v>
      </c>
      <c r="D93" s="66"/>
      <c r="E93" s="25" t="s">
        <v>246</v>
      </c>
      <c r="F93" s="25" t="s">
        <v>66</v>
      </c>
      <c r="G93" s="25" t="s">
        <v>268</v>
      </c>
    </row>
    <row r="94" spans="1:7" ht="25.05" customHeight="1" x14ac:dyDescent="0.3">
      <c r="A94" s="24" t="s">
        <v>295</v>
      </c>
      <c r="B94" s="25" t="s">
        <v>222</v>
      </c>
      <c r="C94" s="25" t="s">
        <v>296</v>
      </c>
      <c r="D94" s="66"/>
      <c r="E94" s="25" t="s">
        <v>246</v>
      </c>
      <c r="F94" s="25" t="s">
        <v>66</v>
      </c>
      <c r="G94" s="25" t="s">
        <v>268</v>
      </c>
    </row>
    <row r="95" spans="1:7" ht="25.05" customHeight="1" x14ac:dyDescent="0.3">
      <c r="A95" s="24" t="s">
        <v>297</v>
      </c>
      <c r="B95" s="25" t="s">
        <v>222</v>
      </c>
      <c r="C95" s="25" t="s">
        <v>298</v>
      </c>
      <c r="D95" s="66"/>
      <c r="E95" s="25" t="s">
        <v>257</v>
      </c>
      <c r="F95" s="25" t="s">
        <v>66</v>
      </c>
      <c r="G95" s="25" t="s">
        <v>268</v>
      </c>
    </row>
    <row r="96" spans="1:7" ht="25.05" customHeight="1" x14ac:dyDescent="0.3">
      <c r="A96" s="24" t="s">
        <v>299</v>
      </c>
      <c r="B96" s="25" t="s">
        <v>222</v>
      </c>
      <c r="C96" s="25" t="s">
        <v>300</v>
      </c>
      <c r="D96" s="66"/>
      <c r="E96" s="25" t="s">
        <v>257</v>
      </c>
      <c r="F96" s="25" t="s">
        <v>40</v>
      </c>
      <c r="G96" s="25" t="s">
        <v>268</v>
      </c>
    </row>
    <row r="97" spans="1:7" ht="25.05" customHeight="1" x14ac:dyDescent="0.3">
      <c r="A97" s="24" t="s">
        <v>301</v>
      </c>
      <c r="B97" s="25" t="s">
        <v>222</v>
      </c>
      <c r="C97" s="25" t="s">
        <v>302</v>
      </c>
      <c r="D97" s="66"/>
      <c r="E97" s="25" t="s">
        <v>257</v>
      </c>
      <c r="F97" s="25" t="s">
        <v>40</v>
      </c>
      <c r="G97" s="25" t="s">
        <v>268</v>
      </c>
    </row>
    <row r="98" spans="1:7" ht="25.05" customHeight="1" x14ac:dyDescent="0.3">
      <c r="A98" s="24" t="s">
        <v>303</v>
      </c>
      <c r="B98" s="25" t="s">
        <v>222</v>
      </c>
      <c r="C98" s="25" t="s">
        <v>304</v>
      </c>
      <c r="D98" s="66"/>
      <c r="E98" s="25" t="s">
        <v>257</v>
      </c>
      <c r="F98" s="25" t="s">
        <v>66</v>
      </c>
      <c r="G98" s="25" t="s">
        <v>268</v>
      </c>
    </row>
    <row r="99" spans="1:7" ht="25.05" customHeight="1" x14ac:dyDescent="0.3">
      <c r="A99" s="24" t="s">
        <v>305</v>
      </c>
      <c r="B99" s="25" t="s">
        <v>222</v>
      </c>
      <c r="C99" s="25" t="s">
        <v>306</v>
      </c>
      <c r="D99" s="66"/>
      <c r="E99" s="25" t="s">
        <v>257</v>
      </c>
      <c r="F99" s="25" t="s">
        <v>66</v>
      </c>
      <c r="G99" s="25" t="s">
        <v>268</v>
      </c>
    </row>
    <row r="100" spans="1:7" ht="25.05" customHeight="1" x14ac:dyDescent="0.3">
      <c r="A100" s="26" t="s">
        <v>307</v>
      </c>
      <c r="B100" s="27" t="s">
        <v>308</v>
      </c>
      <c r="C100" s="27" t="s">
        <v>309</v>
      </c>
      <c r="D100" s="67"/>
      <c r="E100" s="27" t="s">
        <v>224</v>
      </c>
      <c r="F100" s="27" t="s">
        <v>66</v>
      </c>
      <c r="G100" s="27" t="s">
        <v>310</v>
      </c>
    </row>
    <row r="101" spans="1:7" ht="25.05" customHeight="1" x14ac:dyDescent="0.3">
      <c r="A101" s="26" t="s">
        <v>311</v>
      </c>
      <c r="B101" s="27" t="s">
        <v>308</v>
      </c>
      <c r="C101" s="27" t="s">
        <v>312</v>
      </c>
      <c r="D101" s="67"/>
      <c r="E101" s="27" t="s">
        <v>224</v>
      </c>
      <c r="F101" s="27" t="s">
        <v>40</v>
      </c>
      <c r="G101" s="27" t="s">
        <v>310</v>
      </c>
    </row>
    <row r="102" spans="1:7" ht="25.05" customHeight="1" x14ac:dyDescent="0.3">
      <c r="A102" s="26" t="s">
        <v>313</v>
      </c>
      <c r="B102" s="27" t="s">
        <v>308</v>
      </c>
      <c r="C102" s="27" t="s">
        <v>314</v>
      </c>
      <c r="D102" s="67"/>
      <c r="E102" s="27" t="s">
        <v>224</v>
      </c>
      <c r="F102" s="27" t="s">
        <v>40</v>
      </c>
      <c r="G102" s="27" t="s">
        <v>310</v>
      </c>
    </row>
    <row r="103" spans="1:7" ht="25.05" customHeight="1" x14ac:dyDescent="0.3">
      <c r="A103" s="26" t="s">
        <v>315</v>
      </c>
      <c r="B103" s="27" t="s">
        <v>308</v>
      </c>
      <c r="C103" s="27" t="s">
        <v>316</v>
      </c>
      <c r="D103" s="67"/>
      <c r="E103" s="27" t="s">
        <v>224</v>
      </c>
      <c r="F103" s="27" t="s">
        <v>66</v>
      </c>
      <c r="G103" s="27" t="s">
        <v>310</v>
      </c>
    </row>
    <row r="104" spans="1:7" ht="25.05" customHeight="1" x14ac:dyDescent="0.3">
      <c r="A104" s="26" t="s">
        <v>317</v>
      </c>
      <c r="B104" s="27" t="s">
        <v>308</v>
      </c>
      <c r="C104" s="27" t="s">
        <v>318</v>
      </c>
      <c r="D104" s="67"/>
      <c r="E104" s="27" t="s">
        <v>224</v>
      </c>
      <c r="F104" s="27" t="s">
        <v>66</v>
      </c>
      <c r="G104" s="27" t="s">
        <v>310</v>
      </c>
    </row>
    <row r="105" spans="1:7" ht="25.05" customHeight="1" x14ac:dyDescent="0.3">
      <c r="A105" s="26" t="s">
        <v>319</v>
      </c>
      <c r="B105" s="27" t="s">
        <v>308</v>
      </c>
      <c r="C105" s="27" t="s">
        <v>320</v>
      </c>
      <c r="D105" s="67"/>
      <c r="E105" s="27" t="s">
        <v>235</v>
      </c>
      <c r="F105" s="27" t="s">
        <v>66</v>
      </c>
      <c r="G105" s="27" t="s">
        <v>310</v>
      </c>
    </row>
    <row r="106" spans="1:7" ht="25.05" customHeight="1" x14ac:dyDescent="0.3">
      <c r="A106" s="26" t="s">
        <v>321</v>
      </c>
      <c r="B106" s="27" t="s">
        <v>308</v>
      </c>
      <c r="C106" s="27" t="s">
        <v>322</v>
      </c>
      <c r="D106" s="67"/>
      <c r="E106" s="27" t="s">
        <v>235</v>
      </c>
      <c r="F106" s="27" t="s">
        <v>40</v>
      </c>
      <c r="G106" s="27" t="s">
        <v>310</v>
      </c>
    </row>
    <row r="107" spans="1:7" ht="25.05" customHeight="1" x14ac:dyDescent="0.3">
      <c r="A107" s="26" t="s">
        <v>323</v>
      </c>
      <c r="B107" s="27" t="s">
        <v>308</v>
      </c>
      <c r="C107" s="27" t="s">
        <v>324</v>
      </c>
      <c r="D107" s="67"/>
      <c r="E107" s="27" t="s">
        <v>235</v>
      </c>
      <c r="F107" s="27" t="s">
        <v>40</v>
      </c>
      <c r="G107" s="27" t="s">
        <v>310</v>
      </c>
    </row>
    <row r="108" spans="1:7" ht="25.05" customHeight="1" x14ac:dyDescent="0.3">
      <c r="A108" s="26" t="s">
        <v>325</v>
      </c>
      <c r="B108" s="27" t="s">
        <v>308</v>
      </c>
      <c r="C108" s="27" t="s">
        <v>326</v>
      </c>
      <c r="D108" s="67"/>
      <c r="E108" s="27" t="s">
        <v>235</v>
      </c>
      <c r="F108" s="27" t="s">
        <v>66</v>
      </c>
      <c r="G108" s="27" t="s">
        <v>310</v>
      </c>
    </row>
    <row r="109" spans="1:7" ht="25.05" customHeight="1" x14ac:dyDescent="0.3">
      <c r="A109" s="26" t="s">
        <v>327</v>
      </c>
      <c r="B109" s="27" t="s">
        <v>308</v>
      </c>
      <c r="C109" s="27" t="s">
        <v>328</v>
      </c>
      <c r="D109" s="67"/>
      <c r="E109" s="27" t="s">
        <v>235</v>
      </c>
      <c r="F109" s="27" t="s">
        <v>66</v>
      </c>
      <c r="G109" s="27" t="s">
        <v>310</v>
      </c>
    </row>
    <row r="110" spans="1:7" ht="25.05" customHeight="1" x14ac:dyDescent="0.3">
      <c r="A110" s="26" t="s">
        <v>329</v>
      </c>
      <c r="B110" s="27" t="s">
        <v>308</v>
      </c>
      <c r="C110" s="27" t="s">
        <v>330</v>
      </c>
      <c r="D110" s="67"/>
      <c r="E110" s="27" t="s">
        <v>246</v>
      </c>
      <c r="F110" s="27" t="s">
        <v>66</v>
      </c>
      <c r="G110" s="27" t="s">
        <v>310</v>
      </c>
    </row>
    <row r="111" spans="1:7" ht="25.05" customHeight="1" x14ac:dyDescent="0.3">
      <c r="A111" s="26" t="s">
        <v>331</v>
      </c>
      <c r="B111" s="27" t="s">
        <v>308</v>
      </c>
      <c r="C111" s="27" t="s">
        <v>332</v>
      </c>
      <c r="D111" s="67"/>
      <c r="E111" s="27" t="s">
        <v>246</v>
      </c>
      <c r="F111" s="27" t="s">
        <v>40</v>
      </c>
      <c r="G111" s="27" t="s">
        <v>310</v>
      </c>
    </row>
    <row r="112" spans="1:7" ht="25.05" customHeight="1" x14ac:dyDescent="0.3">
      <c r="A112" s="26" t="s">
        <v>333</v>
      </c>
      <c r="B112" s="27" t="s">
        <v>308</v>
      </c>
      <c r="C112" s="27" t="s">
        <v>334</v>
      </c>
      <c r="D112" s="67"/>
      <c r="E112" s="27" t="s">
        <v>246</v>
      </c>
      <c r="F112" s="27" t="s">
        <v>40</v>
      </c>
      <c r="G112" s="27" t="s">
        <v>310</v>
      </c>
    </row>
    <row r="113" spans="1:7" ht="25.05" customHeight="1" x14ac:dyDescent="0.3">
      <c r="A113" s="26" t="s">
        <v>335</v>
      </c>
      <c r="B113" s="27" t="s">
        <v>308</v>
      </c>
      <c r="C113" s="27" t="s">
        <v>336</v>
      </c>
      <c r="D113" s="67"/>
      <c r="E113" s="27" t="s">
        <v>246</v>
      </c>
      <c r="F113" s="27" t="s">
        <v>66</v>
      </c>
      <c r="G113" s="27" t="s">
        <v>310</v>
      </c>
    </row>
    <row r="114" spans="1:7" ht="25.05" customHeight="1" x14ac:dyDescent="0.3">
      <c r="A114" s="26" t="s">
        <v>337</v>
      </c>
      <c r="B114" s="27" t="s">
        <v>308</v>
      </c>
      <c r="C114" s="27" t="s">
        <v>338</v>
      </c>
      <c r="D114" s="67"/>
      <c r="E114" s="27" t="s">
        <v>246</v>
      </c>
      <c r="F114" s="27" t="s">
        <v>66</v>
      </c>
      <c r="G114" s="27" t="s">
        <v>310</v>
      </c>
    </row>
    <row r="115" spans="1:7" ht="25.05" customHeight="1" x14ac:dyDescent="0.3">
      <c r="A115" s="26" t="s">
        <v>339</v>
      </c>
      <c r="B115" s="27" t="s">
        <v>308</v>
      </c>
      <c r="C115" s="27" t="s">
        <v>340</v>
      </c>
      <c r="D115" s="67"/>
      <c r="E115" s="27" t="s">
        <v>257</v>
      </c>
      <c r="F115" s="27" t="s">
        <v>66</v>
      </c>
      <c r="G115" s="27" t="s">
        <v>310</v>
      </c>
    </row>
    <row r="116" spans="1:7" ht="25.05" customHeight="1" x14ac:dyDescent="0.3">
      <c r="A116" s="26" t="s">
        <v>341</v>
      </c>
      <c r="B116" s="27" t="s">
        <v>308</v>
      </c>
      <c r="C116" s="27" t="s">
        <v>342</v>
      </c>
      <c r="D116" s="67"/>
      <c r="E116" s="27" t="s">
        <v>257</v>
      </c>
      <c r="F116" s="27" t="s">
        <v>40</v>
      </c>
      <c r="G116" s="27" t="s">
        <v>310</v>
      </c>
    </row>
    <row r="117" spans="1:7" ht="25.05" customHeight="1" x14ac:dyDescent="0.3">
      <c r="A117" s="26" t="s">
        <v>343</v>
      </c>
      <c r="B117" s="27" t="s">
        <v>308</v>
      </c>
      <c r="C117" s="27" t="s">
        <v>344</v>
      </c>
      <c r="D117" s="67"/>
      <c r="E117" s="27" t="s">
        <v>257</v>
      </c>
      <c r="F117" s="27" t="s">
        <v>40</v>
      </c>
      <c r="G117" s="27" t="s">
        <v>310</v>
      </c>
    </row>
    <row r="118" spans="1:7" ht="25.05" customHeight="1" x14ac:dyDescent="0.3">
      <c r="A118" s="26" t="s">
        <v>345</v>
      </c>
      <c r="B118" s="27" t="s">
        <v>308</v>
      </c>
      <c r="C118" s="27" t="s">
        <v>346</v>
      </c>
      <c r="D118" s="67"/>
      <c r="E118" s="27" t="s">
        <v>257</v>
      </c>
      <c r="F118" s="27" t="s">
        <v>66</v>
      </c>
      <c r="G118" s="27" t="s">
        <v>310</v>
      </c>
    </row>
    <row r="119" spans="1:7" ht="25.05" customHeight="1" x14ac:dyDescent="0.3">
      <c r="A119" s="26" t="s">
        <v>347</v>
      </c>
      <c r="B119" s="27" t="s">
        <v>308</v>
      </c>
      <c r="C119" s="27" t="s">
        <v>348</v>
      </c>
      <c r="D119" s="67"/>
      <c r="E119" s="27" t="s">
        <v>257</v>
      </c>
      <c r="F119" s="27" t="s">
        <v>66</v>
      </c>
      <c r="G119" s="27" t="s">
        <v>310</v>
      </c>
    </row>
    <row r="120" spans="1:7" ht="25.05" customHeight="1" x14ac:dyDescent="0.3">
      <c r="A120" s="28" t="s">
        <v>349</v>
      </c>
      <c r="B120" s="29" t="s">
        <v>350</v>
      </c>
      <c r="C120" s="29" t="s">
        <v>351</v>
      </c>
      <c r="D120" s="68" t="s">
        <v>352</v>
      </c>
      <c r="E120" s="29" t="s">
        <v>353</v>
      </c>
      <c r="F120" s="29" t="s">
        <v>40</v>
      </c>
      <c r="G120" s="29"/>
    </row>
    <row r="121" spans="1:7" ht="25.05" customHeight="1" x14ac:dyDescent="0.3">
      <c r="A121" s="28" t="s">
        <v>354</v>
      </c>
      <c r="B121" s="29" t="s">
        <v>350</v>
      </c>
      <c r="C121" s="29" t="s">
        <v>355</v>
      </c>
      <c r="D121" s="68" t="s">
        <v>356</v>
      </c>
      <c r="E121" s="29" t="s">
        <v>12</v>
      </c>
      <c r="F121" s="29" t="s">
        <v>40</v>
      </c>
      <c r="G121" s="29" t="s">
        <v>357</v>
      </c>
    </row>
    <row r="122" spans="1:7" ht="25.05" customHeight="1" x14ac:dyDescent="0.3">
      <c r="A122" s="28" t="s">
        <v>358</v>
      </c>
      <c r="B122" s="29" t="s">
        <v>350</v>
      </c>
      <c r="C122" s="29" t="s">
        <v>359</v>
      </c>
      <c r="D122" s="68" t="s">
        <v>360</v>
      </c>
      <c r="E122" s="29" t="s">
        <v>12</v>
      </c>
      <c r="F122" s="29" t="s">
        <v>40</v>
      </c>
      <c r="G122" s="29" t="s">
        <v>361</v>
      </c>
    </row>
    <row r="123" spans="1:7" ht="25.05" customHeight="1" x14ac:dyDescent="0.3">
      <c r="A123" s="28" t="s">
        <v>362</v>
      </c>
      <c r="B123" s="29" t="s">
        <v>350</v>
      </c>
      <c r="C123" s="29" t="s">
        <v>363</v>
      </c>
      <c r="D123" s="68" t="s">
        <v>364</v>
      </c>
      <c r="E123" s="29" t="s">
        <v>12</v>
      </c>
      <c r="F123" s="29" t="s">
        <v>40</v>
      </c>
      <c r="G123" s="29" t="s">
        <v>365</v>
      </c>
    </row>
    <row r="124" spans="1:7" ht="25.05" customHeight="1" x14ac:dyDescent="0.3">
      <c r="A124" s="28" t="s">
        <v>366</v>
      </c>
      <c r="B124" s="29" t="s">
        <v>350</v>
      </c>
      <c r="C124" s="29" t="s">
        <v>367</v>
      </c>
      <c r="D124" s="68" t="s">
        <v>368</v>
      </c>
      <c r="E124" s="29" t="s">
        <v>12</v>
      </c>
      <c r="F124" s="29" t="s">
        <v>40</v>
      </c>
      <c r="G124" s="29"/>
    </row>
    <row r="125" spans="1:7" ht="25.05" customHeight="1" x14ac:dyDescent="0.3">
      <c r="A125" s="28" t="s">
        <v>369</v>
      </c>
      <c r="B125" s="29" t="s">
        <v>350</v>
      </c>
      <c r="C125" s="29" t="s">
        <v>370</v>
      </c>
      <c r="D125" s="68" t="s">
        <v>371</v>
      </c>
      <c r="E125" s="29" t="s">
        <v>372</v>
      </c>
      <c r="F125" s="29" t="s">
        <v>40</v>
      </c>
      <c r="G125" s="29" t="s">
        <v>373</v>
      </c>
    </row>
    <row r="126" spans="1:7" ht="25.05" customHeight="1" x14ac:dyDescent="0.3">
      <c r="A126" s="28" t="s">
        <v>374</v>
      </c>
      <c r="B126" s="29" t="s">
        <v>350</v>
      </c>
      <c r="C126" s="29" t="s">
        <v>375</v>
      </c>
      <c r="D126" s="68" t="s">
        <v>376</v>
      </c>
      <c r="E126" s="29" t="s">
        <v>377</v>
      </c>
      <c r="F126" s="29" t="s">
        <v>40</v>
      </c>
      <c r="G126" s="29" t="s">
        <v>378</v>
      </c>
    </row>
    <row r="127" spans="1:7" ht="25.05" customHeight="1" x14ac:dyDescent="0.3">
      <c r="A127" s="28" t="s">
        <v>379</v>
      </c>
      <c r="B127" s="29" t="s">
        <v>350</v>
      </c>
      <c r="C127" s="29" t="s">
        <v>380</v>
      </c>
      <c r="D127" s="68" t="s">
        <v>381</v>
      </c>
      <c r="E127" s="29" t="s">
        <v>12</v>
      </c>
      <c r="F127" s="29" t="s">
        <v>40</v>
      </c>
      <c r="G127" s="29"/>
    </row>
    <row r="128" spans="1:7" ht="25.05" customHeight="1" x14ac:dyDescent="0.3">
      <c r="A128" s="28" t="s">
        <v>382</v>
      </c>
      <c r="B128" s="29" t="s">
        <v>350</v>
      </c>
      <c r="C128" s="29" t="s">
        <v>383</v>
      </c>
      <c r="D128" s="68" t="s">
        <v>384</v>
      </c>
      <c r="E128" s="29" t="s">
        <v>12</v>
      </c>
      <c r="F128" s="29" t="s">
        <v>40</v>
      </c>
      <c r="G128" s="29"/>
    </row>
    <row r="129" spans="1:7" ht="25.05" customHeight="1" x14ac:dyDescent="0.3">
      <c r="A129" s="28" t="s">
        <v>385</v>
      </c>
      <c r="B129" s="29" t="s">
        <v>350</v>
      </c>
      <c r="C129" s="29" t="s">
        <v>386</v>
      </c>
      <c r="D129" s="68" t="s">
        <v>387</v>
      </c>
      <c r="E129" s="29" t="s">
        <v>12</v>
      </c>
      <c r="F129" s="29" t="s">
        <v>40</v>
      </c>
      <c r="G129" s="29"/>
    </row>
    <row r="130" spans="1:7" ht="25.05" customHeight="1" x14ac:dyDescent="0.3">
      <c r="A130" s="28" t="s">
        <v>388</v>
      </c>
      <c r="B130" s="29" t="s">
        <v>350</v>
      </c>
      <c r="C130" s="29" t="s">
        <v>389</v>
      </c>
      <c r="D130" s="68" t="s">
        <v>390</v>
      </c>
      <c r="E130" s="29" t="s">
        <v>12</v>
      </c>
      <c r="F130" s="29" t="s">
        <v>40</v>
      </c>
      <c r="G130" s="29" t="s">
        <v>268</v>
      </c>
    </row>
    <row r="131" spans="1:7" ht="25.05" customHeight="1" x14ac:dyDescent="0.3">
      <c r="A131" s="28" t="s">
        <v>391</v>
      </c>
      <c r="B131" s="29" t="s">
        <v>350</v>
      </c>
      <c r="C131" s="29" t="s">
        <v>392</v>
      </c>
      <c r="D131" s="68" t="s">
        <v>393</v>
      </c>
      <c r="E131" s="29" t="s">
        <v>12</v>
      </c>
      <c r="F131" s="29" t="s">
        <v>40</v>
      </c>
      <c r="G131" s="29"/>
    </row>
    <row r="132" spans="1:7" ht="25.05" customHeight="1" x14ac:dyDescent="0.3">
      <c r="A132" s="30" t="s">
        <v>57</v>
      </c>
      <c r="B132" s="31" t="s">
        <v>394</v>
      </c>
      <c r="C132" s="31" t="s">
        <v>395</v>
      </c>
      <c r="D132" s="69" t="s">
        <v>396</v>
      </c>
      <c r="E132" s="31" t="s">
        <v>12</v>
      </c>
      <c r="F132" s="31" t="s">
        <v>13</v>
      </c>
      <c r="G132" s="31" t="s">
        <v>397</v>
      </c>
    </row>
    <row r="133" spans="1:7" ht="25.05" customHeight="1" x14ac:dyDescent="0.3">
      <c r="A133" s="30" t="s">
        <v>62</v>
      </c>
      <c r="B133" s="31" t="s">
        <v>394</v>
      </c>
      <c r="C133" s="31" t="s">
        <v>398</v>
      </c>
      <c r="D133" s="69" t="s">
        <v>396</v>
      </c>
      <c r="E133" s="31" t="s">
        <v>12</v>
      </c>
      <c r="F133" s="31" t="s">
        <v>66</v>
      </c>
      <c r="G133" s="31"/>
    </row>
    <row r="134" spans="1:7" ht="25.05" customHeight="1" x14ac:dyDescent="0.3">
      <c r="A134" s="30" t="s">
        <v>67</v>
      </c>
      <c r="B134" s="31" t="s">
        <v>394</v>
      </c>
      <c r="C134" s="31" t="s">
        <v>399</v>
      </c>
      <c r="D134" s="69" t="s">
        <v>396</v>
      </c>
      <c r="E134" s="31" t="s">
        <v>12</v>
      </c>
      <c r="F134" s="31" t="s">
        <v>66</v>
      </c>
      <c r="G134" s="31"/>
    </row>
    <row r="135" spans="1:7" ht="25.05" customHeight="1" x14ac:dyDescent="0.3">
      <c r="A135" s="30" t="s">
        <v>70</v>
      </c>
      <c r="B135" s="31" t="s">
        <v>394</v>
      </c>
      <c r="C135" s="31" t="s">
        <v>400</v>
      </c>
      <c r="D135" s="69" t="s">
        <v>401</v>
      </c>
      <c r="E135" s="31" t="s">
        <v>12</v>
      </c>
      <c r="F135" s="31" t="s">
        <v>35</v>
      </c>
      <c r="G135" s="31"/>
    </row>
    <row r="136" spans="1:7" ht="25.05" customHeight="1" x14ac:dyDescent="0.3">
      <c r="A136" s="32" t="s">
        <v>402</v>
      </c>
      <c r="B136" s="33" t="s">
        <v>403</v>
      </c>
      <c r="C136" s="33" t="s">
        <v>404</v>
      </c>
      <c r="D136" s="70" t="s">
        <v>405</v>
      </c>
      <c r="E136" s="33" t="s">
        <v>406</v>
      </c>
      <c r="F136" s="33" t="s">
        <v>56</v>
      </c>
      <c r="G136" s="33" t="s">
        <v>407</v>
      </c>
    </row>
    <row r="137" spans="1:7" ht="25.05" customHeight="1" x14ac:dyDescent="0.3">
      <c r="A137" s="32" t="s">
        <v>408</v>
      </c>
      <c r="B137" s="33" t="s">
        <v>403</v>
      </c>
      <c r="C137" s="33" t="s">
        <v>409</v>
      </c>
      <c r="D137" s="70" t="s">
        <v>410</v>
      </c>
      <c r="E137" s="33" t="s">
        <v>411</v>
      </c>
      <c r="F137" s="33" t="s">
        <v>56</v>
      </c>
      <c r="G137" s="33" t="s">
        <v>407</v>
      </c>
    </row>
    <row r="138" spans="1:7" ht="25.05" customHeight="1" x14ac:dyDescent="0.3">
      <c r="A138" s="32" t="s">
        <v>412</v>
      </c>
      <c r="B138" s="33" t="s">
        <v>403</v>
      </c>
      <c r="C138" s="33" t="s">
        <v>413</v>
      </c>
      <c r="D138" s="70" t="s">
        <v>414</v>
      </c>
      <c r="E138" s="33" t="s">
        <v>415</v>
      </c>
      <c r="F138" s="33" t="s">
        <v>56</v>
      </c>
      <c r="G138" s="33" t="s">
        <v>416</v>
      </c>
    </row>
    <row r="139" spans="1:7" ht="25.05" customHeight="1" x14ac:dyDescent="0.3">
      <c r="A139" s="32" t="s">
        <v>417</v>
      </c>
      <c r="B139" s="33" t="s">
        <v>403</v>
      </c>
      <c r="C139" s="33" t="s">
        <v>418</v>
      </c>
      <c r="D139" s="70" t="s">
        <v>419</v>
      </c>
      <c r="E139" s="33" t="s">
        <v>420</v>
      </c>
      <c r="F139" s="33" t="s">
        <v>56</v>
      </c>
      <c r="G139" s="33" t="s">
        <v>421</v>
      </c>
    </row>
    <row r="140" spans="1:7" ht="25.05" customHeight="1" x14ac:dyDescent="0.3">
      <c r="A140" s="32" t="s">
        <v>422</v>
      </c>
      <c r="B140" s="33" t="s">
        <v>403</v>
      </c>
      <c r="C140" s="33" t="s">
        <v>423</v>
      </c>
      <c r="D140" s="70" t="s">
        <v>424</v>
      </c>
      <c r="E140" s="33" t="s">
        <v>425</v>
      </c>
      <c r="F140" s="33" t="s">
        <v>56</v>
      </c>
      <c r="G140" s="33" t="s">
        <v>421</v>
      </c>
    </row>
    <row r="141" spans="1:7" ht="25.05" customHeight="1" x14ac:dyDescent="0.3">
      <c r="A141" s="32" t="s">
        <v>426</v>
      </c>
      <c r="B141" s="33" t="s">
        <v>403</v>
      </c>
      <c r="C141" s="33" t="s">
        <v>427</v>
      </c>
      <c r="D141" s="70" t="s">
        <v>428</v>
      </c>
      <c r="E141" s="33" t="s">
        <v>429</v>
      </c>
      <c r="F141" s="33" t="s">
        <v>56</v>
      </c>
      <c r="G141" s="33" t="s">
        <v>416</v>
      </c>
    </row>
    <row r="142" spans="1:7" ht="25.05" customHeight="1" x14ac:dyDescent="0.3">
      <c r="A142" s="32" t="s">
        <v>430</v>
      </c>
      <c r="B142" s="33" t="s">
        <v>403</v>
      </c>
      <c r="C142" s="33" t="s">
        <v>431</v>
      </c>
      <c r="D142" s="70" t="s">
        <v>432</v>
      </c>
      <c r="E142" s="33" t="s">
        <v>433</v>
      </c>
      <c r="F142" s="33" t="s">
        <v>56</v>
      </c>
      <c r="G142" s="33" t="s">
        <v>416</v>
      </c>
    </row>
    <row r="143" spans="1:7" ht="25.05" customHeight="1" x14ac:dyDescent="0.3">
      <c r="A143" s="32" t="s">
        <v>434</v>
      </c>
      <c r="B143" s="33" t="s">
        <v>403</v>
      </c>
      <c r="C143" s="33" t="s">
        <v>435</v>
      </c>
      <c r="D143" s="70" t="s">
        <v>436</v>
      </c>
      <c r="E143" s="33" t="s">
        <v>437</v>
      </c>
      <c r="F143" s="33" t="s">
        <v>56</v>
      </c>
      <c r="G143" s="33" t="s">
        <v>407</v>
      </c>
    </row>
    <row r="144" spans="1:7" ht="25.05" customHeight="1" x14ac:dyDescent="0.3">
      <c r="A144" s="32" t="s">
        <v>438</v>
      </c>
      <c r="B144" s="33" t="s">
        <v>403</v>
      </c>
      <c r="C144" s="33" t="s">
        <v>439</v>
      </c>
      <c r="D144" s="70" t="s">
        <v>440</v>
      </c>
      <c r="E144" s="33" t="s">
        <v>441</v>
      </c>
      <c r="F144" s="33" t="s">
        <v>56</v>
      </c>
      <c r="G144" s="33" t="s">
        <v>407</v>
      </c>
    </row>
    <row r="145" spans="1:7" ht="25.05" customHeight="1" x14ac:dyDescent="0.3">
      <c r="A145" s="32" t="s">
        <v>442</v>
      </c>
      <c r="B145" s="33" t="s">
        <v>403</v>
      </c>
      <c r="C145" s="33" t="s">
        <v>443</v>
      </c>
      <c r="D145" s="70" t="s">
        <v>444</v>
      </c>
      <c r="E145" s="33" t="s">
        <v>445</v>
      </c>
      <c r="F145" s="33" t="s">
        <v>56</v>
      </c>
      <c r="G145" s="33" t="s">
        <v>416</v>
      </c>
    </row>
    <row r="146" spans="1:7" ht="25.05" customHeight="1" x14ac:dyDescent="0.3">
      <c r="A146" s="32" t="s">
        <v>446</v>
      </c>
      <c r="B146" s="33" t="s">
        <v>403</v>
      </c>
      <c r="C146" s="33" t="s">
        <v>447</v>
      </c>
      <c r="D146" s="70" t="s">
        <v>448</v>
      </c>
      <c r="E146" s="33" t="s">
        <v>449</v>
      </c>
      <c r="F146" s="33" t="s">
        <v>56</v>
      </c>
      <c r="G146" s="33" t="s">
        <v>416</v>
      </c>
    </row>
    <row r="147" spans="1:7" ht="25.05" customHeight="1" x14ac:dyDescent="0.3">
      <c r="A147" s="32" t="s">
        <v>450</v>
      </c>
      <c r="B147" s="33" t="s">
        <v>403</v>
      </c>
      <c r="C147" s="33" t="s">
        <v>451</v>
      </c>
      <c r="D147" s="70" t="s">
        <v>452</v>
      </c>
      <c r="E147" s="33" t="s">
        <v>453</v>
      </c>
      <c r="F147" s="33" t="s">
        <v>56</v>
      </c>
      <c r="G147" s="33" t="s">
        <v>416</v>
      </c>
    </row>
    <row r="148" spans="1:7" ht="25.05" customHeight="1" x14ac:dyDescent="0.3">
      <c r="A148" s="32" t="s">
        <v>454</v>
      </c>
      <c r="B148" s="33" t="s">
        <v>403</v>
      </c>
      <c r="C148" s="33" t="s">
        <v>455</v>
      </c>
      <c r="D148" s="70" t="s">
        <v>456</v>
      </c>
      <c r="E148" s="33" t="s">
        <v>457</v>
      </c>
      <c r="F148" s="33" t="s">
        <v>56</v>
      </c>
      <c r="G148" s="33" t="s">
        <v>416</v>
      </c>
    </row>
    <row r="149" spans="1:7" ht="25.05" customHeight="1" x14ac:dyDescent="0.3">
      <c r="A149" s="32" t="s">
        <v>458</v>
      </c>
      <c r="B149" s="33" t="s">
        <v>403</v>
      </c>
      <c r="C149" s="33" t="s">
        <v>459</v>
      </c>
      <c r="D149" s="70" t="s">
        <v>460</v>
      </c>
      <c r="E149" s="33" t="s">
        <v>461</v>
      </c>
      <c r="F149" s="33" t="s">
        <v>56</v>
      </c>
      <c r="G149" s="33" t="s">
        <v>407</v>
      </c>
    </row>
    <row r="150" spans="1:7" ht="25.05" customHeight="1" x14ac:dyDescent="0.3">
      <c r="A150" s="32" t="s">
        <v>462</v>
      </c>
      <c r="B150" s="33" t="s">
        <v>403</v>
      </c>
      <c r="C150" s="33" t="s">
        <v>463</v>
      </c>
      <c r="D150" s="70" t="s">
        <v>464</v>
      </c>
      <c r="E150" s="33" t="s">
        <v>465</v>
      </c>
      <c r="F150" s="33" t="s">
        <v>56</v>
      </c>
      <c r="G150" s="33" t="s">
        <v>407</v>
      </c>
    </row>
    <row r="151" spans="1:7" ht="25.05" customHeight="1" x14ac:dyDescent="0.3">
      <c r="A151" s="32" t="s">
        <v>466</v>
      </c>
      <c r="B151" s="33" t="s">
        <v>403</v>
      </c>
      <c r="C151" s="33" t="s">
        <v>467</v>
      </c>
      <c r="D151" s="70" t="s">
        <v>468</v>
      </c>
      <c r="E151" s="33" t="s">
        <v>469</v>
      </c>
      <c r="F151" s="33" t="s">
        <v>56</v>
      </c>
      <c r="G151" s="33" t="s">
        <v>407</v>
      </c>
    </row>
    <row r="152" spans="1:7" ht="25.05" customHeight="1" x14ac:dyDescent="0.3">
      <c r="A152" s="32" t="s">
        <v>470</v>
      </c>
      <c r="B152" s="33" t="s">
        <v>403</v>
      </c>
      <c r="C152" s="33" t="s">
        <v>471</v>
      </c>
      <c r="D152" s="70" t="s">
        <v>472</v>
      </c>
      <c r="E152" s="33" t="s">
        <v>473</v>
      </c>
      <c r="F152" s="33" t="s">
        <v>56</v>
      </c>
      <c r="G152" s="33" t="s">
        <v>416</v>
      </c>
    </row>
    <row r="153" spans="1:7" ht="25.05" customHeight="1" x14ac:dyDescent="0.3">
      <c r="A153" s="32" t="s">
        <v>474</v>
      </c>
      <c r="B153" s="33" t="s">
        <v>403</v>
      </c>
      <c r="C153" s="33" t="s">
        <v>475</v>
      </c>
      <c r="D153" s="70" t="s">
        <v>476</v>
      </c>
      <c r="E153" s="33" t="s">
        <v>477</v>
      </c>
      <c r="F153" s="33" t="s">
        <v>56</v>
      </c>
      <c r="G153" s="33" t="s">
        <v>416</v>
      </c>
    </row>
    <row r="154" spans="1:7" ht="25.05" customHeight="1" x14ac:dyDescent="0.3">
      <c r="A154" s="32" t="s">
        <v>478</v>
      </c>
      <c r="B154" s="33" t="s">
        <v>403</v>
      </c>
      <c r="C154" s="33" t="s">
        <v>479</v>
      </c>
      <c r="D154" s="70" t="s">
        <v>480</v>
      </c>
      <c r="E154" s="33" t="s">
        <v>481</v>
      </c>
      <c r="F154" s="33" t="s">
        <v>56</v>
      </c>
      <c r="G154" s="33" t="s">
        <v>416</v>
      </c>
    </row>
    <row r="155" spans="1:7" ht="25.05" customHeight="1" x14ac:dyDescent="0.3">
      <c r="A155" s="32" t="s">
        <v>482</v>
      </c>
      <c r="B155" s="33" t="s">
        <v>403</v>
      </c>
      <c r="C155" s="33" t="s">
        <v>483</v>
      </c>
      <c r="D155" s="70" t="s">
        <v>484</v>
      </c>
      <c r="E155" s="33" t="s">
        <v>485</v>
      </c>
      <c r="F155" s="33" t="s">
        <v>56</v>
      </c>
      <c r="G155" s="33" t="s">
        <v>407</v>
      </c>
    </row>
    <row r="156" spans="1:7" ht="25.05" customHeight="1" x14ac:dyDescent="0.3">
      <c r="A156" s="32" t="s">
        <v>486</v>
      </c>
      <c r="B156" s="33" t="s">
        <v>403</v>
      </c>
      <c r="C156" s="33" t="s">
        <v>487</v>
      </c>
      <c r="D156" s="70" t="s">
        <v>488</v>
      </c>
      <c r="E156" s="33" t="s">
        <v>489</v>
      </c>
      <c r="F156" s="33" t="s">
        <v>56</v>
      </c>
      <c r="G156" s="33" t="s">
        <v>407</v>
      </c>
    </row>
    <row r="157" spans="1:7" ht="25.05" customHeight="1" x14ac:dyDescent="0.3">
      <c r="A157" s="32" t="s">
        <v>490</v>
      </c>
      <c r="B157" s="33" t="s">
        <v>403</v>
      </c>
      <c r="C157" s="33" t="s">
        <v>491</v>
      </c>
      <c r="D157" s="70" t="s">
        <v>492</v>
      </c>
      <c r="E157" s="33" t="s">
        <v>493</v>
      </c>
      <c r="F157" s="33" t="s">
        <v>56</v>
      </c>
      <c r="G157" s="33" t="s">
        <v>416</v>
      </c>
    </row>
    <row r="158" spans="1:7" ht="25.05" customHeight="1" x14ac:dyDescent="0.3">
      <c r="A158" s="32" t="s">
        <v>494</v>
      </c>
      <c r="B158" s="33" t="s">
        <v>403</v>
      </c>
      <c r="C158" s="33" t="s">
        <v>495</v>
      </c>
      <c r="D158" s="70" t="s">
        <v>496</v>
      </c>
      <c r="E158" s="33" t="s">
        <v>12</v>
      </c>
      <c r="F158" s="33" t="s">
        <v>56</v>
      </c>
      <c r="G158" s="33" t="s">
        <v>407</v>
      </c>
    </row>
    <row r="159" spans="1:7" ht="25.05" customHeight="1" x14ac:dyDescent="0.3">
      <c r="A159" s="32" t="s">
        <v>497</v>
      </c>
      <c r="B159" s="33" t="s">
        <v>403</v>
      </c>
      <c r="C159" s="33" t="s">
        <v>498</v>
      </c>
      <c r="D159" s="70" t="s">
        <v>499</v>
      </c>
      <c r="E159" s="33" t="s">
        <v>425</v>
      </c>
      <c r="F159" s="33" t="s">
        <v>56</v>
      </c>
      <c r="G159" s="33" t="s">
        <v>407</v>
      </c>
    </row>
    <row r="160" spans="1:7" ht="25.05" customHeight="1" x14ac:dyDescent="0.3">
      <c r="A160" s="32" t="s">
        <v>500</v>
      </c>
      <c r="B160" s="33" t="s">
        <v>403</v>
      </c>
      <c r="C160" s="33" t="s">
        <v>501</v>
      </c>
      <c r="D160" s="70" t="s">
        <v>502</v>
      </c>
      <c r="E160" s="33" t="s">
        <v>12</v>
      </c>
      <c r="F160" s="33" t="s">
        <v>56</v>
      </c>
      <c r="G160" s="33" t="s">
        <v>416</v>
      </c>
    </row>
    <row r="161" spans="1:7" ht="25.05" customHeight="1" x14ac:dyDescent="0.3">
      <c r="A161" s="32" t="s">
        <v>503</v>
      </c>
      <c r="B161" s="33" t="s">
        <v>403</v>
      </c>
      <c r="C161" s="33" t="s">
        <v>504</v>
      </c>
      <c r="D161" s="70" t="s">
        <v>505</v>
      </c>
      <c r="E161" s="33" t="s">
        <v>433</v>
      </c>
      <c r="F161" s="33" t="s">
        <v>56</v>
      </c>
      <c r="G161" s="33" t="s">
        <v>416</v>
      </c>
    </row>
    <row r="162" spans="1:7" ht="25.05" customHeight="1" x14ac:dyDescent="0.3">
      <c r="A162" s="32" t="s">
        <v>506</v>
      </c>
      <c r="B162" s="33" t="s">
        <v>403</v>
      </c>
      <c r="C162" s="33" t="s">
        <v>507</v>
      </c>
      <c r="D162" s="70" t="s">
        <v>508</v>
      </c>
      <c r="E162" s="33" t="s">
        <v>12</v>
      </c>
      <c r="F162" s="33" t="s">
        <v>56</v>
      </c>
      <c r="G162" s="33" t="s">
        <v>407</v>
      </c>
    </row>
    <row r="163" spans="1:7" ht="25.05" customHeight="1" x14ac:dyDescent="0.3">
      <c r="A163" s="32" t="s">
        <v>509</v>
      </c>
      <c r="B163" s="33" t="s">
        <v>403</v>
      </c>
      <c r="C163" s="33" t="s">
        <v>510</v>
      </c>
      <c r="D163" s="70" t="s">
        <v>511</v>
      </c>
      <c r="E163" s="33" t="s">
        <v>12</v>
      </c>
      <c r="F163" s="33" t="s">
        <v>56</v>
      </c>
      <c r="G163" s="33" t="s">
        <v>416</v>
      </c>
    </row>
    <row r="164" spans="1:7" ht="25.05" customHeight="1" x14ac:dyDescent="0.3">
      <c r="A164" s="32" t="s">
        <v>512</v>
      </c>
      <c r="B164" s="33" t="s">
        <v>403</v>
      </c>
      <c r="C164" s="33" t="s">
        <v>513</v>
      </c>
      <c r="D164" s="70" t="s">
        <v>514</v>
      </c>
      <c r="E164" s="33" t="s">
        <v>12</v>
      </c>
      <c r="F164" s="33" t="s">
        <v>56</v>
      </c>
      <c r="G164" s="33" t="s">
        <v>407</v>
      </c>
    </row>
    <row r="165" spans="1:7" ht="25.05" customHeight="1" x14ac:dyDescent="0.3">
      <c r="A165" s="32" t="s">
        <v>515</v>
      </c>
      <c r="B165" s="33" t="s">
        <v>403</v>
      </c>
      <c r="C165" s="33" t="s">
        <v>516</v>
      </c>
      <c r="D165" s="70" t="s">
        <v>517</v>
      </c>
      <c r="E165" s="33" t="s">
        <v>12</v>
      </c>
      <c r="F165" s="33" t="s">
        <v>56</v>
      </c>
      <c r="G165" s="33" t="s">
        <v>416</v>
      </c>
    </row>
    <row r="166" spans="1:7" ht="25.05" customHeight="1" x14ac:dyDescent="0.3">
      <c r="A166" s="32" t="s">
        <v>518</v>
      </c>
      <c r="B166" s="33" t="s">
        <v>403</v>
      </c>
      <c r="C166" s="33" t="s">
        <v>519</v>
      </c>
      <c r="D166" s="70" t="s">
        <v>520</v>
      </c>
      <c r="E166" s="33" t="s">
        <v>12</v>
      </c>
      <c r="F166" s="33" t="s">
        <v>56</v>
      </c>
      <c r="G166" s="33" t="s">
        <v>416</v>
      </c>
    </row>
    <row r="167" spans="1:7" ht="25.05" customHeight="1" x14ac:dyDescent="0.3">
      <c r="A167" s="32" t="s">
        <v>521</v>
      </c>
      <c r="B167" s="33" t="s">
        <v>403</v>
      </c>
      <c r="C167" s="33" t="s">
        <v>522</v>
      </c>
      <c r="D167" s="70" t="s">
        <v>523</v>
      </c>
      <c r="E167" s="33" t="s">
        <v>12</v>
      </c>
      <c r="F167" s="33" t="s">
        <v>56</v>
      </c>
      <c r="G167" s="33" t="s">
        <v>416</v>
      </c>
    </row>
    <row r="168" spans="1:7" ht="25.05" customHeight="1" x14ac:dyDescent="0.3">
      <c r="A168" s="32" t="s">
        <v>524</v>
      </c>
      <c r="B168" s="33" t="s">
        <v>403</v>
      </c>
      <c r="C168" s="33" t="s">
        <v>525</v>
      </c>
      <c r="D168" s="70" t="s">
        <v>526</v>
      </c>
      <c r="E168" s="33" t="s">
        <v>12</v>
      </c>
      <c r="F168" s="33" t="s">
        <v>56</v>
      </c>
      <c r="G168" s="33" t="s">
        <v>407</v>
      </c>
    </row>
    <row r="169" spans="1:7" ht="25.05" customHeight="1" x14ac:dyDescent="0.3">
      <c r="A169" s="32" t="s">
        <v>527</v>
      </c>
      <c r="B169" s="33" t="s">
        <v>403</v>
      </c>
      <c r="C169" s="33" t="s">
        <v>528</v>
      </c>
      <c r="D169" s="70" t="s">
        <v>529</v>
      </c>
      <c r="E169" s="33" t="s">
        <v>530</v>
      </c>
      <c r="F169" s="33" t="s">
        <v>56</v>
      </c>
      <c r="G169" s="33" t="s">
        <v>421</v>
      </c>
    </row>
    <row r="170" spans="1:7" ht="25.05" customHeight="1" x14ac:dyDescent="0.3">
      <c r="A170" s="32" t="s">
        <v>531</v>
      </c>
      <c r="B170" s="33" t="s">
        <v>403</v>
      </c>
      <c r="C170" s="33" t="s">
        <v>532</v>
      </c>
      <c r="D170" s="70" t="s">
        <v>533</v>
      </c>
      <c r="E170" s="33" t="s">
        <v>433</v>
      </c>
      <c r="F170" s="33" t="s">
        <v>56</v>
      </c>
      <c r="G170" s="33" t="s">
        <v>416</v>
      </c>
    </row>
    <row r="171" spans="1:7" ht="25.05" customHeight="1" x14ac:dyDescent="0.3">
      <c r="A171" s="32" t="s">
        <v>534</v>
      </c>
      <c r="B171" s="33" t="s">
        <v>403</v>
      </c>
      <c r="C171" s="33" t="s">
        <v>535</v>
      </c>
      <c r="D171" s="70" t="s">
        <v>536</v>
      </c>
      <c r="E171" s="33" t="s">
        <v>429</v>
      </c>
      <c r="F171" s="33" t="s">
        <v>56</v>
      </c>
      <c r="G171" s="33" t="s">
        <v>416</v>
      </c>
    </row>
    <row r="172" spans="1:7" ht="25.05" customHeight="1" x14ac:dyDescent="0.3">
      <c r="A172" s="32" t="s">
        <v>537</v>
      </c>
      <c r="B172" s="33" t="s">
        <v>403</v>
      </c>
      <c r="C172" s="33" t="s">
        <v>538</v>
      </c>
      <c r="D172" s="70" t="s">
        <v>539</v>
      </c>
      <c r="E172" s="33" t="s">
        <v>540</v>
      </c>
      <c r="F172" s="33" t="s">
        <v>56</v>
      </c>
      <c r="G172" s="33" t="s">
        <v>407</v>
      </c>
    </row>
    <row r="173" spans="1:7" ht="25.05" customHeight="1" x14ac:dyDescent="0.3">
      <c r="A173" s="32" t="s">
        <v>541</v>
      </c>
      <c r="B173" s="33" t="s">
        <v>403</v>
      </c>
      <c r="C173" s="33" t="s">
        <v>542</v>
      </c>
      <c r="D173" s="70" t="s">
        <v>543</v>
      </c>
      <c r="E173" s="33" t="s">
        <v>544</v>
      </c>
      <c r="F173" s="33" t="s">
        <v>56</v>
      </c>
      <c r="G173" s="33" t="s">
        <v>407</v>
      </c>
    </row>
    <row r="174" spans="1:7" ht="25.05" customHeight="1" x14ac:dyDescent="0.3">
      <c r="A174" s="32" t="s">
        <v>545</v>
      </c>
      <c r="B174" s="33" t="s">
        <v>403</v>
      </c>
      <c r="C174" s="33" t="s">
        <v>546</v>
      </c>
      <c r="D174" s="70" t="s">
        <v>547</v>
      </c>
      <c r="E174" s="33" t="s">
        <v>12</v>
      </c>
      <c r="F174" s="33" t="s">
        <v>56</v>
      </c>
      <c r="G174" s="33" t="s">
        <v>421</v>
      </c>
    </row>
    <row r="175" spans="1:7" ht="25.05" customHeight="1" x14ac:dyDescent="0.3">
      <c r="A175" s="32" t="s">
        <v>548</v>
      </c>
      <c r="B175" s="33" t="s">
        <v>403</v>
      </c>
      <c r="C175" s="33" t="s">
        <v>549</v>
      </c>
      <c r="D175" s="70" t="s">
        <v>550</v>
      </c>
      <c r="E175" s="33" t="s">
        <v>406</v>
      </c>
      <c r="F175" s="33" t="s">
        <v>56</v>
      </c>
      <c r="G175" s="33" t="s">
        <v>416</v>
      </c>
    </row>
    <row r="176" spans="1:7" ht="25.05" customHeight="1" x14ac:dyDescent="0.3">
      <c r="A176" s="32" t="s">
        <v>551</v>
      </c>
      <c r="B176" s="33" t="s">
        <v>403</v>
      </c>
      <c r="C176" s="33" t="s">
        <v>552</v>
      </c>
      <c r="D176" s="70" t="s">
        <v>553</v>
      </c>
      <c r="E176" s="33" t="s">
        <v>433</v>
      </c>
      <c r="F176" s="33" t="s">
        <v>56</v>
      </c>
      <c r="G176" s="33" t="s">
        <v>416</v>
      </c>
    </row>
    <row r="177" spans="1:7" ht="25.05" customHeight="1" x14ac:dyDescent="0.3">
      <c r="A177" s="32" t="s">
        <v>554</v>
      </c>
      <c r="B177" s="33" t="s">
        <v>403</v>
      </c>
      <c r="C177" s="33" t="s">
        <v>555</v>
      </c>
      <c r="D177" s="70" t="s">
        <v>556</v>
      </c>
      <c r="E177" s="33" t="s">
        <v>12</v>
      </c>
      <c r="F177" s="33" t="s">
        <v>56</v>
      </c>
      <c r="G177" s="33" t="s">
        <v>416</v>
      </c>
    </row>
    <row r="178" spans="1:7" ht="25.05" customHeight="1" x14ac:dyDescent="0.3">
      <c r="A178" s="32" t="s">
        <v>557</v>
      </c>
      <c r="B178" s="33" t="s">
        <v>403</v>
      </c>
      <c r="C178" s="33" t="s">
        <v>558</v>
      </c>
      <c r="D178" s="70" t="s">
        <v>559</v>
      </c>
      <c r="E178" s="33" t="s">
        <v>12</v>
      </c>
      <c r="F178" s="33" t="s">
        <v>56</v>
      </c>
      <c r="G178" s="33" t="s">
        <v>407</v>
      </c>
    </row>
    <row r="179" spans="1:7" ht="25.05" customHeight="1" x14ac:dyDescent="0.3">
      <c r="A179" s="32" t="s">
        <v>560</v>
      </c>
      <c r="B179" s="33" t="s">
        <v>403</v>
      </c>
      <c r="C179" s="33" t="s">
        <v>561</v>
      </c>
      <c r="D179" s="70" t="s">
        <v>562</v>
      </c>
      <c r="E179" s="33" t="s">
        <v>12</v>
      </c>
      <c r="F179" s="33" t="s">
        <v>56</v>
      </c>
      <c r="G179" s="33" t="s">
        <v>407</v>
      </c>
    </row>
    <row r="180" spans="1:7" ht="25.05" customHeight="1" x14ac:dyDescent="0.3">
      <c r="A180" s="32" t="s">
        <v>563</v>
      </c>
      <c r="B180" s="33" t="s">
        <v>403</v>
      </c>
      <c r="C180" s="33" t="s">
        <v>564</v>
      </c>
      <c r="D180" s="70" t="s">
        <v>565</v>
      </c>
      <c r="E180" s="33" t="s">
        <v>12</v>
      </c>
      <c r="F180" s="33" t="s">
        <v>56</v>
      </c>
      <c r="G180" s="33" t="s">
        <v>407</v>
      </c>
    </row>
    <row r="181" spans="1:7" ht="25.05" customHeight="1" x14ac:dyDescent="0.3">
      <c r="A181" s="32" t="s">
        <v>566</v>
      </c>
      <c r="B181" s="33" t="s">
        <v>403</v>
      </c>
      <c r="C181" s="33" t="s">
        <v>567</v>
      </c>
      <c r="D181" s="70" t="s">
        <v>568</v>
      </c>
      <c r="E181" s="33" t="s">
        <v>406</v>
      </c>
      <c r="F181" s="33" t="s">
        <v>56</v>
      </c>
      <c r="G181" s="33" t="s">
        <v>416</v>
      </c>
    </row>
    <row r="182" spans="1:7" ht="25.05" customHeight="1" x14ac:dyDescent="0.3">
      <c r="A182" s="32" t="s">
        <v>569</v>
      </c>
      <c r="B182" s="33" t="s">
        <v>403</v>
      </c>
      <c r="C182" s="33" t="s">
        <v>570</v>
      </c>
      <c r="D182" s="70" t="s">
        <v>571</v>
      </c>
      <c r="E182" s="33" t="s">
        <v>12</v>
      </c>
      <c r="F182" s="33" t="s">
        <v>56</v>
      </c>
      <c r="G182" s="33" t="s">
        <v>407</v>
      </c>
    </row>
    <row r="183" spans="1:7" ht="25.05" customHeight="1" x14ac:dyDescent="0.3">
      <c r="A183" s="32" t="s">
        <v>572</v>
      </c>
      <c r="B183" s="33" t="s">
        <v>403</v>
      </c>
      <c r="C183" s="33" t="s">
        <v>573</v>
      </c>
      <c r="D183" s="70" t="s">
        <v>574</v>
      </c>
      <c r="E183" s="33" t="s">
        <v>12</v>
      </c>
      <c r="F183" s="33" t="s">
        <v>56</v>
      </c>
      <c r="G183" s="33" t="s">
        <v>407</v>
      </c>
    </row>
    <row r="184" spans="1:7" ht="25.05" customHeight="1" x14ac:dyDescent="0.3">
      <c r="A184" s="32" t="s">
        <v>575</v>
      </c>
      <c r="B184" s="33" t="s">
        <v>403</v>
      </c>
      <c r="C184" s="33" t="s">
        <v>576</v>
      </c>
      <c r="D184" s="70" t="s">
        <v>577</v>
      </c>
      <c r="E184" s="33" t="s">
        <v>578</v>
      </c>
      <c r="F184" s="33" t="s">
        <v>56</v>
      </c>
      <c r="G184" s="33" t="s">
        <v>407</v>
      </c>
    </row>
    <row r="185" spans="1:7" ht="25.05" customHeight="1" x14ac:dyDescent="0.3">
      <c r="A185" s="32" t="s">
        <v>579</v>
      </c>
      <c r="B185" s="33" t="s">
        <v>403</v>
      </c>
      <c r="C185" s="33" t="s">
        <v>580</v>
      </c>
      <c r="D185" s="70" t="s">
        <v>581</v>
      </c>
      <c r="E185" s="33" t="s">
        <v>582</v>
      </c>
      <c r="F185" s="33" t="s">
        <v>56</v>
      </c>
      <c r="G185" s="33" t="s">
        <v>407</v>
      </c>
    </row>
    <row r="186" spans="1:7" ht="25.05" customHeight="1" x14ac:dyDescent="0.3">
      <c r="A186" s="32" t="s">
        <v>583</v>
      </c>
      <c r="B186" s="33" t="s">
        <v>403</v>
      </c>
      <c r="C186" s="33" t="s">
        <v>584</v>
      </c>
      <c r="D186" s="70" t="s">
        <v>585</v>
      </c>
      <c r="E186" s="33" t="s">
        <v>586</v>
      </c>
      <c r="F186" s="33" t="s">
        <v>587</v>
      </c>
      <c r="G186" s="33"/>
    </row>
    <row r="187" spans="1:7" ht="25.05" customHeight="1" x14ac:dyDescent="0.3">
      <c r="A187" s="32" t="s">
        <v>588</v>
      </c>
      <c r="B187" s="33" t="s">
        <v>403</v>
      </c>
      <c r="C187" s="33" t="s">
        <v>589</v>
      </c>
      <c r="D187" s="70" t="s">
        <v>590</v>
      </c>
      <c r="E187" s="33" t="s">
        <v>591</v>
      </c>
      <c r="F187" s="33" t="s">
        <v>592</v>
      </c>
      <c r="G187" s="33"/>
    </row>
    <row r="188" spans="1:7" ht="25.05" customHeight="1" x14ac:dyDescent="0.3">
      <c r="A188" s="32" t="s">
        <v>593</v>
      </c>
      <c r="B188" s="33" t="s">
        <v>403</v>
      </c>
      <c r="C188" s="33" t="s">
        <v>594</v>
      </c>
      <c r="D188" s="70" t="s">
        <v>595</v>
      </c>
      <c r="E188" s="33" t="s">
        <v>596</v>
      </c>
      <c r="F188" s="33" t="s">
        <v>66</v>
      </c>
      <c r="G188" s="33"/>
    </row>
    <row r="189" spans="1:7" ht="37.799999999999997" customHeight="1" x14ac:dyDescent="0.3">
      <c r="A189" s="34" t="s">
        <v>597</v>
      </c>
      <c r="B189" s="35" t="s">
        <v>598</v>
      </c>
      <c r="C189" s="35" t="s">
        <v>599</v>
      </c>
      <c r="D189" s="71" t="s">
        <v>600</v>
      </c>
      <c r="E189" s="35" t="s">
        <v>601</v>
      </c>
      <c r="F189" s="35" t="s">
        <v>602</v>
      </c>
      <c r="G189" s="35" t="s">
        <v>603</v>
      </c>
    </row>
  </sheetData>
  <autoFilter ref="A2:G189" xr:uid="{00000000-0009-0000-0000-000000000000}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showGridLines="0" workbookViewId="0">
      <pane ySplit="2" topLeftCell="A3" activePane="bottomLeft" state="frozen"/>
      <selection pane="bottomLeft" activeCell="A2" sqref="A1:C1048576"/>
    </sheetView>
  </sheetViews>
  <sheetFormatPr defaultRowHeight="14.4" x14ac:dyDescent="0.3"/>
  <cols>
    <col min="1" max="1" width="32" style="60" customWidth="1"/>
    <col min="2" max="2" width="36" style="60" customWidth="1"/>
    <col min="3" max="3" width="70" style="60" customWidth="1"/>
  </cols>
  <sheetData>
    <row r="1" spans="1:3" ht="28.05" customHeight="1" x14ac:dyDescent="0.3">
      <c r="A1" s="73" t="s">
        <v>618</v>
      </c>
      <c r="B1" s="77"/>
      <c r="C1" s="77"/>
    </row>
    <row r="2" spans="1:3" x14ac:dyDescent="0.3">
      <c r="A2" s="1" t="s">
        <v>619</v>
      </c>
      <c r="B2" s="1" t="s">
        <v>620</v>
      </c>
      <c r="C2" s="1" t="s">
        <v>3</v>
      </c>
    </row>
    <row r="3" spans="1:3" ht="19.95" customHeight="1" x14ac:dyDescent="0.3">
      <c r="A3" s="78" t="s">
        <v>621</v>
      </c>
      <c r="B3" s="79" t="s">
        <v>622</v>
      </c>
      <c r="C3" s="79" t="s">
        <v>623</v>
      </c>
    </row>
    <row r="4" spans="1:3" ht="19.95" customHeight="1" x14ac:dyDescent="0.3">
      <c r="A4" s="80" t="s">
        <v>624</v>
      </c>
      <c r="B4" s="81" t="s">
        <v>625</v>
      </c>
      <c r="C4" s="81" t="s">
        <v>626</v>
      </c>
    </row>
    <row r="5" spans="1:3" ht="19.95" customHeight="1" x14ac:dyDescent="0.3">
      <c r="A5" s="78" t="s">
        <v>627</v>
      </c>
      <c r="B5" s="79" t="s">
        <v>628</v>
      </c>
      <c r="C5" s="79" t="s">
        <v>629</v>
      </c>
    </row>
    <row r="6" spans="1:3" ht="19.95" customHeight="1" x14ac:dyDescent="0.3">
      <c r="A6" s="80" t="s">
        <v>630</v>
      </c>
      <c r="B6" s="81" t="s">
        <v>631</v>
      </c>
      <c r="C6" s="81" t="s">
        <v>632</v>
      </c>
    </row>
    <row r="7" spans="1:3" ht="19.95" customHeight="1" x14ac:dyDescent="0.3">
      <c r="A7" s="78" t="s">
        <v>633</v>
      </c>
      <c r="B7" s="79" t="s">
        <v>634</v>
      </c>
      <c r="C7" s="79" t="s">
        <v>635</v>
      </c>
    </row>
    <row r="8" spans="1:3" ht="19.95" customHeight="1" x14ac:dyDescent="0.3">
      <c r="A8" s="80" t="s">
        <v>636</v>
      </c>
      <c r="B8" s="81" t="s">
        <v>637</v>
      </c>
      <c r="C8" s="81" t="s">
        <v>638</v>
      </c>
    </row>
    <row r="9" spans="1:3" ht="19.95" customHeight="1" x14ac:dyDescent="0.3">
      <c r="A9" s="78" t="s">
        <v>639</v>
      </c>
      <c r="B9" s="79" t="s">
        <v>637</v>
      </c>
      <c r="C9" s="79" t="s">
        <v>640</v>
      </c>
    </row>
    <row r="10" spans="1:3" ht="19.95" customHeight="1" x14ac:dyDescent="0.3">
      <c r="A10" s="80" t="s">
        <v>641</v>
      </c>
      <c r="B10" s="81" t="s">
        <v>642</v>
      </c>
      <c r="C10" s="81" t="s">
        <v>643</v>
      </c>
    </row>
    <row r="11" spans="1:3" ht="19.95" customHeight="1" x14ac:dyDescent="0.3">
      <c r="A11" s="78" t="s">
        <v>644</v>
      </c>
      <c r="B11" s="79" t="s">
        <v>645</v>
      </c>
      <c r="C11" s="79" t="s">
        <v>646</v>
      </c>
    </row>
    <row r="12" spans="1:3" ht="19.95" customHeight="1" x14ac:dyDescent="0.3">
      <c r="A12" s="80" t="s">
        <v>647</v>
      </c>
      <c r="B12" s="81" t="s">
        <v>648</v>
      </c>
      <c r="C12" s="81" t="s">
        <v>649</v>
      </c>
    </row>
    <row r="13" spans="1:3" ht="19.95" customHeight="1" x14ac:dyDescent="0.3">
      <c r="A13" s="78" t="s">
        <v>650</v>
      </c>
      <c r="B13" s="79" t="s">
        <v>651</v>
      </c>
      <c r="C13" s="79" t="s">
        <v>652</v>
      </c>
    </row>
    <row r="14" spans="1:3" ht="19.95" customHeight="1" x14ac:dyDescent="0.3">
      <c r="A14" s="80" t="s">
        <v>653</v>
      </c>
      <c r="B14" s="81" t="s">
        <v>654</v>
      </c>
      <c r="C14" s="81" t="s">
        <v>655</v>
      </c>
    </row>
    <row r="15" spans="1:3" ht="19.95" customHeight="1" x14ac:dyDescent="0.3">
      <c r="A15" s="78" t="s">
        <v>656</v>
      </c>
      <c r="B15" s="79" t="s">
        <v>654</v>
      </c>
      <c r="C15" s="79" t="s">
        <v>657</v>
      </c>
    </row>
    <row r="16" spans="1:3" ht="19.95" customHeight="1" x14ac:dyDescent="0.3">
      <c r="A16" s="80" t="s">
        <v>658</v>
      </c>
      <c r="B16" s="81" t="s">
        <v>659</v>
      </c>
      <c r="C16" s="81" t="s">
        <v>660</v>
      </c>
    </row>
    <row r="17" spans="1:3" ht="19.95" customHeight="1" x14ac:dyDescent="0.3">
      <c r="A17" s="78" t="s">
        <v>661</v>
      </c>
      <c r="B17" s="79" t="s">
        <v>662</v>
      </c>
      <c r="C17" s="79" t="s">
        <v>663</v>
      </c>
    </row>
    <row r="18" spans="1:3" ht="19.95" customHeight="1" x14ac:dyDescent="0.3">
      <c r="A18" s="80" t="s">
        <v>664</v>
      </c>
      <c r="B18" s="81" t="s">
        <v>665</v>
      </c>
      <c r="C18" s="81" t="s">
        <v>666</v>
      </c>
    </row>
    <row r="19" spans="1:3" ht="19.95" customHeight="1" x14ac:dyDescent="0.3">
      <c r="A19" s="78" t="s">
        <v>667</v>
      </c>
      <c r="B19" s="79" t="s">
        <v>668</v>
      </c>
      <c r="C19" s="79" t="s">
        <v>669</v>
      </c>
    </row>
    <row r="20" spans="1:3" ht="19.95" customHeight="1" x14ac:dyDescent="0.3">
      <c r="A20" s="80" t="s">
        <v>670</v>
      </c>
      <c r="B20" s="81" t="s">
        <v>671</v>
      </c>
      <c r="C20" s="81" t="s">
        <v>672</v>
      </c>
    </row>
    <row r="21" spans="1:3" ht="19.95" customHeight="1" x14ac:dyDescent="0.3">
      <c r="A21" s="78" t="s">
        <v>673</v>
      </c>
      <c r="B21" s="79" t="s">
        <v>674</v>
      </c>
      <c r="C21" s="79" t="s">
        <v>675</v>
      </c>
    </row>
    <row r="22" spans="1:3" ht="19.95" customHeight="1" x14ac:dyDescent="0.3">
      <c r="A22" s="80" t="s">
        <v>676</v>
      </c>
      <c r="B22" s="81" t="s">
        <v>677</v>
      </c>
      <c r="C22" s="81" t="s">
        <v>678</v>
      </c>
    </row>
    <row r="23" spans="1:3" ht="19.95" customHeight="1" x14ac:dyDescent="0.3">
      <c r="A23" s="78" t="s">
        <v>679</v>
      </c>
      <c r="B23" s="79" t="s">
        <v>680</v>
      </c>
      <c r="C23" s="79" t="s">
        <v>681</v>
      </c>
    </row>
    <row r="24" spans="1:3" ht="19.95" customHeight="1" x14ac:dyDescent="0.3">
      <c r="A24" s="80" t="s">
        <v>682</v>
      </c>
      <c r="B24" s="81" t="s">
        <v>683</v>
      </c>
      <c r="C24" s="81" t="s">
        <v>684</v>
      </c>
    </row>
    <row r="25" spans="1:3" ht="19.95" customHeight="1" x14ac:dyDescent="0.3">
      <c r="A25" s="78" t="s">
        <v>685</v>
      </c>
      <c r="B25" s="79" t="s">
        <v>686</v>
      </c>
      <c r="C25" s="79" t="s">
        <v>687</v>
      </c>
    </row>
    <row r="26" spans="1:3" ht="19.95" customHeight="1" x14ac:dyDescent="0.3">
      <c r="A26" s="80" t="s">
        <v>688</v>
      </c>
      <c r="B26" s="81" t="s">
        <v>689</v>
      </c>
      <c r="C26" s="81" t="s">
        <v>690</v>
      </c>
    </row>
    <row r="27" spans="1:3" ht="19.95" customHeight="1" x14ac:dyDescent="0.3">
      <c r="A27" s="78" t="s">
        <v>691</v>
      </c>
      <c r="B27" s="79" t="s">
        <v>692</v>
      </c>
      <c r="C27" s="79" t="s">
        <v>693</v>
      </c>
    </row>
    <row r="28" spans="1:3" ht="19.95" customHeight="1" x14ac:dyDescent="0.3">
      <c r="A28" s="80" t="s">
        <v>694</v>
      </c>
      <c r="B28" s="81" t="s">
        <v>695</v>
      </c>
      <c r="C28" s="81" t="s">
        <v>696</v>
      </c>
    </row>
    <row r="29" spans="1:3" ht="19.95" customHeight="1" x14ac:dyDescent="0.3">
      <c r="A29" s="78" t="s">
        <v>697</v>
      </c>
      <c r="B29" s="79" t="s">
        <v>698</v>
      </c>
      <c r="C29" s="79" t="s">
        <v>699</v>
      </c>
    </row>
    <row r="30" spans="1:3" ht="19.95" customHeight="1" x14ac:dyDescent="0.3">
      <c r="A30" s="80" t="s">
        <v>700</v>
      </c>
      <c r="B30" s="81" t="s">
        <v>701</v>
      </c>
      <c r="C30" s="81" t="s">
        <v>702</v>
      </c>
    </row>
    <row r="31" spans="1:3" ht="19.95" customHeight="1" x14ac:dyDescent="0.3">
      <c r="A31" s="78" t="s">
        <v>703</v>
      </c>
      <c r="B31" s="79" t="s">
        <v>704</v>
      </c>
      <c r="C31" s="79" t="s">
        <v>705</v>
      </c>
    </row>
    <row r="32" spans="1:3" ht="19.95" customHeight="1" x14ac:dyDescent="0.3">
      <c r="A32" s="80" t="s">
        <v>706</v>
      </c>
      <c r="B32" s="81" t="s">
        <v>707</v>
      </c>
      <c r="C32" s="81" t="s">
        <v>708</v>
      </c>
    </row>
    <row r="33" spans="1:3" ht="19.95" customHeight="1" x14ac:dyDescent="0.3">
      <c r="A33" s="78" t="s">
        <v>709</v>
      </c>
      <c r="B33" s="79" t="s">
        <v>710</v>
      </c>
      <c r="C33" s="79" t="s">
        <v>711</v>
      </c>
    </row>
    <row r="34" spans="1:3" ht="19.95" customHeight="1" x14ac:dyDescent="0.3">
      <c r="A34" s="80" t="s">
        <v>712</v>
      </c>
      <c r="B34" s="81" t="s">
        <v>713</v>
      </c>
      <c r="C34" s="81" t="s">
        <v>714</v>
      </c>
    </row>
    <row r="35" spans="1:3" ht="37.200000000000003" customHeight="1" x14ac:dyDescent="0.3">
      <c r="A35" s="78" t="s">
        <v>715</v>
      </c>
      <c r="B35" s="79" t="s">
        <v>716</v>
      </c>
      <c r="C35" s="79" t="s">
        <v>717</v>
      </c>
    </row>
    <row r="36" spans="1:3" ht="19.95" customHeight="1" x14ac:dyDescent="0.3">
      <c r="A36" s="80" t="s">
        <v>718</v>
      </c>
      <c r="B36" s="81" t="s">
        <v>719</v>
      </c>
      <c r="C36" s="81" t="s">
        <v>720</v>
      </c>
    </row>
    <row r="37" spans="1:3" ht="19.95" customHeight="1" x14ac:dyDescent="0.3">
      <c r="A37" s="78" t="s">
        <v>721</v>
      </c>
      <c r="B37" s="79" t="s">
        <v>722</v>
      </c>
      <c r="C37" s="79" t="s">
        <v>723</v>
      </c>
    </row>
    <row r="38" spans="1:3" ht="19.95" customHeight="1" x14ac:dyDescent="0.3">
      <c r="A38" s="80" t="s">
        <v>724</v>
      </c>
      <c r="B38" s="81" t="s">
        <v>725</v>
      </c>
      <c r="C38" s="81" t="s">
        <v>726</v>
      </c>
    </row>
    <row r="39" spans="1:3" ht="19.95" customHeight="1" x14ac:dyDescent="0.3">
      <c r="A39" s="78" t="s">
        <v>727</v>
      </c>
      <c r="B39" s="79" t="s">
        <v>728</v>
      </c>
      <c r="C39" s="79" t="s">
        <v>729</v>
      </c>
    </row>
    <row r="40" spans="1:3" ht="19.95" customHeight="1" x14ac:dyDescent="0.3">
      <c r="A40" s="80" t="s">
        <v>730</v>
      </c>
      <c r="B40" s="81" t="s">
        <v>731</v>
      </c>
      <c r="C40" s="81" t="s">
        <v>732</v>
      </c>
    </row>
    <row r="41" spans="1:3" ht="19.95" customHeight="1" x14ac:dyDescent="0.3">
      <c r="A41" s="78" t="s">
        <v>733</v>
      </c>
      <c r="B41" s="79" t="s">
        <v>734</v>
      </c>
      <c r="C41" s="79" t="s">
        <v>735</v>
      </c>
    </row>
    <row r="42" spans="1:3" ht="19.95" customHeight="1" x14ac:dyDescent="0.3">
      <c r="A42" s="80" t="s">
        <v>736</v>
      </c>
      <c r="B42" s="81" t="s">
        <v>737</v>
      </c>
      <c r="C42" s="81" t="s">
        <v>738</v>
      </c>
    </row>
    <row r="43" spans="1:3" ht="19.95" customHeight="1" x14ac:dyDescent="0.3">
      <c r="A43" s="78" t="s">
        <v>739</v>
      </c>
      <c r="B43" s="79" t="s">
        <v>740</v>
      </c>
      <c r="C43" s="79" t="s">
        <v>741</v>
      </c>
    </row>
    <row r="44" spans="1:3" ht="19.95" customHeight="1" x14ac:dyDescent="0.3">
      <c r="A44" s="80" t="s">
        <v>742</v>
      </c>
      <c r="B44" s="81" t="s">
        <v>743</v>
      </c>
      <c r="C44" s="81" t="s">
        <v>744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Summary</vt:lpstr>
      <vt:lpstr>Feature Catalogue</vt:lpstr>
      <vt:lpstr>Config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2026-02-27T11:43:07Z</dcterms:created>
  <dcterms:modified xsi:type="dcterms:W3CDTF">2026-03-05T05:11:25Z</dcterms:modified>
</cp:coreProperties>
</file>